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канал\"/>
    </mc:Choice>
  </mc:AlternateContent>
  <xr:revisionPtr revIDLastSave="0" documentId="13_ncr:1_{F68B46B5-4842-4B0A-9F1F-D6BB3D88F07D}" xr6:coauthVersionLast="45" xr6:coauthVersionMax="45" xr10:uidLastSave="{00000000-0000-0000-0000-000000000000}"/>
  <bookViews>
    <workbookView xWindow="-108" yWindow="-108" windowWidth="19416" windowHeight="104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<sst xmlns="http://schemas.openxmlformats.org/spreadsheetml/2006/main">
  <si>
    <t>H, см</t>
  </si>
  <si>
    <t>ОПОРНЫЕ ТОЧКИ</t>
  </si>
  <si>
    <t>N</t>
  </si>
  <si>
    <t>V, м/с</t>
  </si>
  <si>
    <t>ЖУРНАЛ СКОРОСТЕЙ</t>
  </si>
  <si>
    <t>N верт:</t>
  </si>
  <si>
    <t>дно м.</t>
  </si>
  <si>
    <t>глубина м.</t>
  </si>
  <si>
    <t>коэф. откоса</t>
  </si>
  <si>
    <t>макс. глуб. см.</t>
  </si>
  <si>
    <t>длина м.</t>
  </si>
  <si>
    <t>перепад м.</t>
  </si>
  <si>
    <t>глубина см.</t>
  </si>
  <si>
    <t>расход м3/с</t>
  </si>
  <si>
    <t>скорость м/с</t>
  </si>
  <si>
    <t>ср. верт.</t>
  </si>
  <si>
    <t>V 0.2:</t>
  </si>
  <si>
    <t>V 0.8:</t>
  </si>
  <si>
    <t>Статус потока:</t>
  </si>
  <si>
    <t>ОТКОС РУСЛА</t>
  </si>
  <si>
    <t>V 0.6:</t>
  </si>
  <si>
    <t>КАЛЬКУЛЯТОР</t>
  </si>
  <si>
    <t>ВВОД ДАННЫХ</t>
  </si>
  <si>
    <t>2. МАТРИЦА ФАКТИЧЕСКИХ СКОРОСТЕЙ (V, м/с)</t>
  </si>
  <si>
    <t>3. МАТРИЦА ПЛОЩАДЕЙ СЕЧЕНИЯ (F, м2)</t>
  </si>
  <si>
    <t>Настройка для таблицы Маннинга:</t>
  </si>
  <si>
    <t>площадь м2</t>
  </si>
  <si>
    <t>горизонт м.</t>
  </si>
  <si>
    <t>Маннинг м3/с</t>
  </si>
  <si>
    <t>ср. створ</t>
  </si>
  <si>
    <t>1. МАТРИЦА РАСХОДОВ ФАКТ (Q, м3/с)</t>
  </si>
  <si>
    <t>4. МАТРИЦА РАСХОДОВ ПО МАННИНГУ (Q, м3/с)</t>
  </si>
  <si>
    <t>4Б. МАТРИЦА СКОРОСТЕЙ ПО МАННИНГУ (V, м/с)</t>
  </si>
  <si>
    <t>коэф. Шези</t>
  </si>
  <si>
    <t>коэф. шерох. Ман.</t>
  </si>
  <si>
    <t>коэф. шерох. факт</t>
  </si>
  <si>
    <t>уклон (авто)</t>
  </si>
  <si>
    <t>коэфф.шерох.</t>
  </si>
  <si>
    <t>Ман. скор. м/с</t>
  </si>
  <si>
    <t>радиус м.</t>
  </si>
  <si>
    <t>периметр м.</t>
  </si>
  <si>
    <t>крит. глубина см.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</si>
</sst>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  <charset val="204"/>
    </font>
    <font>
      <b/>
      <sz val="10"/>
      <color theme="1"/>
      <name val="Segoe UI"/>
      <family val="2"/>
      <charset val="204"/>
    </font>
    <font>
      <b/>
      <sz val="10"/>
      <color rgb="FFFFFFFF"/>
      <name val="Segoe UI"/>
      <family val="2"/>
      <charset val="204"/>
    </font>
    <font>
      <b/>
      <sz val="10"/>
      <color rgb="FF336699"/>
      <name val="Segoe UI"/>
      <family val="2"/>
      <charset val="204"/>
    </font>
    <font>
      <i/>
      <sz val="10"/>
      <color theme="1"/>
      <name val="Segoe UI"/>
      <family val="2"/>
      <charset val="204"/>
    </font>
    <font>
      <b/>
      <sz val="11"/>
      <color rgb="FF336699"/>
      <name val="Segoe UI"/>
      <family val="2"/>
      <charset val="204"/>
    </font>
    <font>
      <b/>
      <sz val="10"/>
      <color rgb="FF1F4E79"/>
      <name val="Segoe UI"/>
      <family val="2"/>
      <charset val="204"/>
    </font>
    <font>
      <b/>
      <i/>
      <sz val="10"/>
      <color theme="1"/>
      <name val="Segoe U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336699"/>
        <bgColor indexed="64"/>
      </patternFill>
    </fill>
    <fill>
      <patternFill patternType="solid">
        <fgColor rgb="FFE6F5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1" xfId="0" applyFont="1" applyBorder="1"/>
    <xf numFmtId="164" fontId="2" fillId="4" borderId="1" xfId="0" applyNumberFormat="1" applyFont="1" applyFill="1" applyBorder="1"/>
    <xf numFmtId="2" fontId="2" fillId="4" borderId="1" xfId="0" applyNumberFormat="1" applyFont="1" applyFill="1" applyBorder="1"/>
    <xf numFmtId="2" fontId="2" fillId="6" borderId="1" xfId="0" applyNumberFormat="1" applyFont="1" applyFill="1" applyBorder="1" applyAlignment="1">
      <alignment horizontal="center"/>
    </xf>
    <xf numFmtId="0" fontId="2" fillId="0" borderId="0" xfId="0" applyFont="1"/>
    <xf numFmtId="0" fontId="4" fillId="0" borderId="0" xfId="0" applyFont="1"/>
    <xf numFmtId="0" fontId="2" fillId="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0" xfId="0" applyFont="1"/>
    <xf numFmtId="0" fontId="2" fillId="6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2" fillId="4" borderId="0" xfId="0" applyNumberFormat="1" applyFont="1" applyFill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/>
    <xf numFmtId="164" fontId="1" fillId="3" borderId="1" xfId="0" applyNumberFormat="1" applyFont="1" applyFill="1" applyBorder="1"/>
    <xf numFmtId="166" fontId="1" fillId="3" borderId="1" xfId="0" applyNumberFormat="1" applyFont="1" applyFill="1" applyBorder="1"/>
    <xf numFmtId="165" fontId="1" fillId="3" borderId="1" xfId="0" applyNumberFormat="1" applyFont="1" applyFill="1" applyBorder="1"/>
    <xf numFmtId="49" fontId="2" fillId="6" borderId="1" xfId="0" applyNumberFormat="1" applyFont="1" applyFill="1" applyBorder="1" applyAlignment="1">
      <alignment horizontal="center"/>
    </xf>
    <xf numFmtId="0" fontId="7" fillId="0" borderId="1" xfId="0" applyFont="1" applyBorder="1"/>
    <xf numFmtId="2" fontId="1" fillId="3" borderId="1" xfId="0" applyNumberFormat="1" applyFont="1" applyFill="1" applyBorder="1" applyAlignment="1">
      <alignment horizontal="center"/>
    </xf>
    <xf numFmtId="165" fontId="8" fillId="6" borderId="1" xfId="0" applyNumberFormat="1" applyFont="1" applyFill="1" applyBorder="1" applyAlignment="1">
      <alignment horizontal="center"/>
    </xf>
    <xf numFmtId="167" fontId="2" fillId="4" borderId="1" xfId="0" applyNumberFormat="1" applyFont="1" applyFill="1" applyBorder="1"/>
    <xf numFmtId="1" fontId="1" fillId="3" borderId="1" xfId="0" applyNumberFormat="1" applyFont="1" applyFill="1" applyBorder="1"/>
    <xf numFmtId="164" fontId="2" fillId="6" borderId="1" xfId="0" applyNumberFormat="1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Обычный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6CC"/>
      </font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01"/>
  <sheetViews>
    <sheetView tabSelected="1" zoomScale="74" zoomScaleNormal="74" workbookViewId="0" topLeftCell="A19">
      <selection activeCell="F3" sqref="F3" activeCellId="0"/>
    </sheetView>
  </sheetViews>
  <sheetFormatPr defaultRowHeight="15" x14ac:dyDescent="0.35" outlineLevelRow="0" defaultColWidth="8.88671875" outlineLevelCol="0"/>
  <cols>
    <col min="1" max="1" width="16.21875" style="1" customWidth="1"/>
    <col min="2" max="2" width="10.88671875" style="1" customWidth="1"/>
    <col min="3" max="3" width="6.44140625" style="1" bestFit="1" customWidth="1"/>
    <col min="4" max="4" width="6" style="1" customWidth="1"/>
    <col min="5" max="5" width="6.44140625" style="1" bestFit="1" customWidth="1"/>
    <col min="6" max="6" width="6.5546875" style="1" bestFit="1" customWidth="1"/>
    <col min="7" max="7" width="6.44140625" style="1" bestFit="1" customWidth="1"/>
    <col min="8" max="8" width="6.44140625" style="1" bestFit="1" customWidth="1"/>
    <col min="9" max="9" width="6.44140625" style="1" bestFit="1" customWidth="1"/>
    <col min="10" max="10" width="6.44140625" style="1" bestFit="1" customWidth="1"/>
    <col min="11" max="11" width="6.44140625" style="1" bestFit="1" customWidth="1"/>
    <col min="12" max="12" width="6.88671875" style="1" customWidth="1"/>
    <col min="13" max="16384" width="8.88671875" style="1"/>
  </cols>
  <sheetData>
    <row r="1">
      <c r="A1" s="31" t="s">
        <v>19</v>
      </c>
      <c r="B1" s="31"/>
      <c r="D1" s="7" t="s">
        <v>4</v>
      </c>
    </row>
    <row r="2">
      <c r="A2" s="2" t="s">
        <v>27</v>
      </c>
      <c r="B2" s="19">
        <v>12</v>
      </c>
      <c r="D2" s="8" t="s">
        <v>5</v>
      </c>
      <c r="E2" s="8">
        <v>1</v>
      </c>
      <c r="F2" s="8">
        <v>2</v>
      </c>
      <c r="G2" s="8">
        <v>3</v>
      </c>
      <c r="H2" s="8">
        <v>4</v>
      </c>
      <c r="I2" s="8">
        <v>5</v>
      </c>
      <c r="J2" s="8">
        <v>6</v>
      </c>
      <c r="K2" s="8">
        <v>7</v>
      </c>
      <c r="L2" s="8">
        <v>8</v>
      </c>
    </row>
    <row r="3">
      <c r="A3" s="2" t="s">
        <v>6</v>
      </c>
      <c r="B3" s="19">
        <v>10</v>
      </c>
      <c r="D3" s="2" t="s">
        <v>16</v>
      </c>
      <c r="E3" s="13">
        <v>1</v>
      </c>
      <c r="F3" s="13">
        <v>1</v>
      </c>
      <c r="G3" s="13">
        <v>1.18</v>
      </c>
      <c r="H3" s="13">
        <v>0.98</v>
      </c>
      <c r="I3" s="13"/>
      <c r="J3" s="13"/>
      <c r="K3" s="13"/>
      <c r="L3" s="13"/>
    </row>
    <row r="4">
      <c r="A4" s="2" t="s">
        <v>7</v>
      </c>
      <c r="B4" s="19">
        <v>0.85</v>
      </c>
      <c r="D4" s="2" t="s">
        <v>20</v>
      </c>
      <c r="E4" s="14">
        <v>1</v>
      </c>
      <c r="F4" s="14">
        <v>1</v>
      </c>
      <c r="G4" s="14"/>
      <c r="H4" s="14"/>
      <c r="I4" s="14"/>
      <c r="J4" s="14"/>
      <c r="K4" s="14"/>
      <c r="L4" s="14"/>
    </row>
    <row r="5">
      <c r="A5" s="2" t="s">
        <v>8</v>
      </c>
      <c r="B5" s="3">
        <f>IF(B4&gt;0, (B2-B3)/(2*B4), 0)</f>
        <v>1.1764705882352942</v>
      </c>
      <c r="D5" s="2" t="s">
        <v>17</v>
      </c>
      <c r="E5" s="13">
        <v>2</v>
      </c>
      <c r="F5" s="13">
        <v>2</v>
      </c>
      <c r="G5" s="13">
        <v>0.88</v>
      </c>
      <c r="H5" s="13">
        <v>0.72</v>
      </c>
      <c r="I5" s="13"/>
      <c r="J5" s="13"/>
      <c r="K5" s="13"/>
      <c r="L5" s="13"/>
    </row>
    <row r="6">
      <c r="D6" s="2" t="s">
        <v>15</v>
      </c>
      <c r="E6" s="26">
        <f>IF(E3="", "", IF(E4="", (E3+E5)/2, (E3+2*E4+E5)/4))</f>
        <v>1.25</v>
      </c>
      <c r="F6" s="26">
        <f>IF(F3="", "", IF(F4="", (F3+F5)/2, (F3+2*F4+F5)/4))</f>
        <v>1.25</v>
      </c>
      <c r="G6" s="26">
        <f>IF(G3="", "", IF(G4="", (G3+G5)/2, (G3+2*G4+G5)/4))</f>
        <v>1.03</v>
      </c>
      <c r="H6" s="26">
        <f>IF(H3="", "", IF(H4="", (H3+H5)/2, (H3+2*H4+H5)/4))</f>
        <v>0.85</v>
      </c>
      <c r="I6" s="26" t="str">
        <f>IF(I3="", "", IF(I4="", (I3+I5)/2, (I3+2*I4+I5)/4))</f>
        <v/>
      </c>
      <c r="J6" s="26" t="str">
        <f>IF(J3="", "", IF(J4="", (J3+J5)/2, (J3+2*J4+J5)/4))</f>
        <v/>
      </c>
      <c r="K6" s="26" t="str">
        <f>IF(K3="", "", IF(K4="", (K3+K5)/2, (K3+2*K4+K5)/4))</f>
        <v/>
      </c>
      <c r="L6" s="26" t="str">
        <f>IF(L3="", "", IF(L4="", (L3+L5)/2, (L3+2*L4+L5)/4))</f>
        <v/>
      </c>
    </row>
    <row r="7">
      <c r="E7" s="1"/>
      <c r="F7" s="1"/>
      <c r="G7" s="1"/>
      <c r="H7" s="1"/>
      <c r="I7" s="1"/>
      <c r="J7" s="1"/>
    </row>
    <row r="8">
      <c r="A8" s="31" t="s">
        <v>22</v>
      </c>
      <c r="B8" s="31"/>
      <c r="D8" s="6" t="s">
        <v>29</v>
      </c>
      <c r="E8" s="15">
        <f>IF(COUNT(E6:L6)&gt;0, AVERAGE(E6:L6), 0)</f>
        <v>1.095</v>
      </c>
    </row>
    <row r="9">
      <c r="A9" s="2" t="s">
        <v>6</v>
      </c>
      <c r="B9" s="19">
        <v>10</v>
      </c>
    </row>
    <row r="10">
      <c r="A10" s="2" t="s">
        <v>8</v>
      </c>
      <c r="B10" s="20">
        <v>1.1765</v>
      </c>
      <c r="D10" s="7" t="s">
        <v>1</v>
      </c>
    </row>
    <row r="11">
      <c r="A11" s="2" t="s">
        <v>9</v>
      </c>
      <c r="B11" s="28">
        <v>15</v>
      </c>
      <c r="D11" s="8" t="s">
        <v>2</v>
      </c>
      <c r="E11" s="8" t="s">
        <v>0</v>
      </c>
      <c r="F11" s="8" t="s">
        <v>3</v>
      </c>
    </row>
    <row r="12">
      <c r="A12" s="2" t="s">
        <v>35</v>
      </c>
      <c r="B12" s="21">
        <v>1</v>
      </c>
      <c r="D12" s="9">
        <v>1</v>
      </c>
      <c r="E12" s="25">
        <v>0</v>
      </c>
      <c r="F12" s="13">
        <v>3.85</v>
      </c>
    </row>
    <row r="13">
      <c r="A13" s="24" t="s">
        <v>25</v>
      </c>
      <c r="B13" s="2"/>
      <c r="D13" s="9">
        <v>2</v>
      </c>
      <c r="E13" s="25">
        <v>170</v>
      </c>
      <c r="F13" s="13">
        <v>3.85</v>
      </c>
    </row>
    <row r="14">
      <c r="A14" s="2" t="s">
        <v>11</v>
      </c>
      <c r="B14" s="22">
        <v>0.193</v>
      </c>
      <c r="D14" s="9">
        <v>3</v>
      </c>
      <c r="E14" s="25"/>
      <c r="F14" s="13"/>
    </row>
    <row r="15">
      <c r="A15" s="2" t="s">
        <v>10</v>
      </c>
      <c r="B15" s="21">
        <v>1000</v>
      </c>
      <c r="D15" s="9">
        <v>4</v>
      </c>
      <c r="E15" s="25"/>
      <c r="F15" s="13"/>
    </row>
    <row r="16">
      <c r="A16" s="2" t="s">
        <v>36</v>
      </c>
      <c r="B16" s="27">
        <f>IF(B15&gt;0, B14/B15, 0)</f>
        <v>1.93E-4</v>
      </c>
      <c r="D16" s="9">
        <v>5</v>
      </c>
      <c r="E16" s="25"/>
      <c r="F16" s="13"/>
    </row>
    <row r="17">
      <c r="A17" s="2" t="s">
        <v>37</v>
      </c>
      <c r="B17" s="22">
        <v>2.5E-2</v>
      </c>
      <c r="D17" s="9">
        <v>6</v>
      </c>
      <c r="E17" s="25"/>
      <c r="F17" s="13"/>
    </row>
    <row r="18">
      <c r="A18" s="2" t="s">
        <v>33</v>
      </c>
      <c r="B18" s="4">
        <f>IF(B29&gt;0, (B29^(1/6))/B17, 0)</f>
        <v>29.022213304438626</v>
      </c>
      <c r="D18" s="9">
        <v>7</v>
      </c>
      <c r="E18" s="25"/>
      <c r="F18" s="13"/>
    </row>
    <row r="19">
      <c r="A19" s="2" t="s">
        <v>34</v>
      </c>
      <c r="B19" s="21">
        <v>1</v>
      </c>
      <c r="D19" s="9">
        <v>8</v>
      </c>
      <c r="E19" s="25"/>
      <c r="F19" s="13"/>
    </row>
    <row r="20">
      <c r="D20" s="9">
        <v>9</v>
      </c>
      <c r="E20" s="25"/>
      <c r="F20" s="13"/>
    </row>
    <row r="21">
      <c r="A21" s="32" t="s">
        <v>21</v>
      </c>
      <c r="B21" s="32"/>
      <c r="D21" s="9">
        <v>10</v>
      </c>
      <c r="E21" s="25"/>
      <c r="F21" s="13"/>
    </row>
    <row r="22">
      <c r="A22" s="2" t="s">
        <v>12</v>
      </c>
      <c r="B22" s="16">
        <v>15</v>
      </c>
    </row>
    <row r="23">
      <c r="A23" s="2" t="s">
        <v>13</v>
      </c>
      <c r="B23" s="17">
        <f>IF($B$22&gt;$B$11, "ЛИМИТ!", B24 * (($B$9*($B$22/100)) + ($B$10*($B$22/100)^2)*$B$12))</f>
        <v>5.8769143125</v>
      </c>
    </row>
    <row r="24">
      <c r="A24" s="2" t="s">
        <v>14</v>
      </c>
      <c r="B24" s="17">
        <f>IF($B$22&gt;$B$11, "-", IFERROR((INDEX($F$12:$F$21,MATCH($B$22,$E$12:$E$21,1))+($B$22-INDEX($E$12:$E$21,MATCH($B$22,$E$12:$E$21,1)))*(IFERROR(INDEX($F$12:$F$21,MATCH($B$22,$E$12:$E$21,1)+1),INDEX($F$12:$F$21,MATCH($B$22,$E$12:$E$21,1)))-INDEX($F$12:$F$21,MATCH($B$22,$E$12:$E$21,1)))/IF((IFERROR(INDEX($E$12:$E$21,MATCH($B$22,$E$12:$E$21,1)+1),INDEX($E$12:$E$21,MATCH($B$22,$E$12:$E$21,1))+1)-INDEX($E$12:$E$21,MATCH($B$22,$E$12:$E$21,1)))=0,1,IFERROR(INDEX($E$12:$E$21,MATCH($B$22,$E$12:$E$21,1)+1),INDEX($E$12:$E$21,MATCH($B$22,$E$12:$E$21,1))+1)-INDEX($E$12:$E$21,MATCH($B$22,$E$12:$E$21,1)))),$F$12))</f>
        <v>3.85</v>
      </c>
    </row>
    <row r="25">
      <c r="A25" s="2" t="s">
        <v>26</v>
      </c>
      <c r="B25" s="29">
        <f>IF($B$22&gt;$B$11, "-", ($B$9*($B$22/100)+$B$10*($B$22/100)^2))</f>
        <v>1.52647125</v>
      </c>
    </row>
    <row r="26">
      <c r="A26" s="2" t="s">
        <v>27</v>
      </c>
      <c r="B26" s="5">
        <f>IF($B$22&gt;$B$11, "-", ($B$9+2*$B$10*($B$22/100)))</f>
        <v>10.35295</v>
      </c>
    </row>
    <row r="27">
      <c r="A27" s="2" t="s">
        <v>28</v>
      </c>
      <c r="B27" s="17">
        <f>IF($B$22&gt;$B$11, "-", B28 * (($B$9*($B$22/100)) + ($B$10*($B$22/100)^2)*$B$19))</f>
        <v>0.23507661501683724</v>
      </c>
    </row>
    <row r="28">
      <c r="A28" s="2" t="s">
        <v>38</v>
      </c>
      <c r="B28" s="17">
        <f>IF($B$22&gt;$B$11, "-", IF(IF(($B$9+2*($B$22/100)*SQRT(1+$B$10^2))&gt;0, ($B$9*($B$22/100)+$B$10*($B$22/100)^2)/($B$9+2*($B$22/100)*SQRT(1+$B$10^2)), 0)&gt;0, (1/$B$17)*( IF(($B$9+2*($B$22/100)*SQRT(1+$B$10^2))&gt;0, ($B$9*($B$22/100)+$B$10*($B$22/100)^2)/($B$9+2*($B$22/100)*SQRT(1+$B$10^2)), 0)^(2/3) )*SQRT($B$16), 0))</f>
        <v>0.15400002785302197</v>
      </c>
    </row>
    <row r="29">
      <c r="A29" s="2" t="s">
        <v>39</v>
      </c>
      <c r="B29" s="5">
        <f>IF($B$22&gt;$B$11, "-", IF(($B$9+2*($B$22/100)*SQRT(1+$B$10^2))&gt;0, ($B$9*($B$22/100)+$B$10*($B$22/100)^2)/($B$9+2*($B$22/100)*SQRT(1+$B$10^2)), 0))</f>
        <v>0.1458892294059274</v>
      </c>
    </row>
    <row r="30">
      <c r="A30" s="2" t="s">
        <v>40</v>
      </c>
      <c r="B30" s="5">
        <f>IF($B$22&gt;$B$11, "-", ($B$9+2*($B$22/100)*SQRT(1+$B$10^2)))</f>
        <v>10.463221008267112</v>
      </c>
    </row>
    <row r="31">
      <c r="A31" s="2" t="s">
        <v>41</v>
      </c>
      <c r="B31" s="18">
        <f>IF(B23&gt;0, (((B23^2 / 9.81) / ($B$9^2))^(1/3)) * (1 - (2*$B$10/3) * (((B23^2 / 9.81) / ($B$9^5))^(1/3))) * 100, 0)</f>
        <v>31.932507031055795</v>
      </c>
    </row>
    <row r="32">
      <c r="A32" s="2" t="s">
        <v>18</v>
      </c>
      <c r="B32" s="23" t="str">
        <f>IF(B23="ЛИМИТ!","?? ПЕРЕПОЛНЕНИЕ ЛИМИТА!",IF(AND(B23&gt;B27,B22&gt;($B$11*0.8)),"?? КРИТИЧЕСКИЙ ПЕРЕЛИВ!",IF(AND(B23&gt;B27,B22&lt;=($B$11*0.8)),"?? ИДЕТ ИНТЕНСИВНЫЙ ПАВОДОК",IF(B22&lt;B31,"?? БУРНЫЙ РЕЖИМ (РАЗМЫВ)","? СТАБИЛЬНЫЙ РЕЖИМ"))))</f>
        <v>?? КРИТИЧЕСКИЙ ПЕРЕЛИВ!</v>
      </c>
    </row>
    <row r="34" ht="15">
      <c r="A34" s="10" t="s">
        <v>30</v>
      </c>
    </row>
    <row r="35">
      <c r="A35" s="8" t="s">
        <v>0</v>
      </c>
      <c r="B35" s="8">
        <v>0</v>
      </c>
      <c r="C35" s="8">
        <v>1</v>
      </c>
      <c r="D35" s="8">
        <v>2</v>
      </c>
      <c r="E35" s="8">
        <v>3</v>
      </c>
      <c r="F35" s="8">
        <v>4</v>
      </c>
      <c r="G35" s="8">
        <v>5</v>
      </c>
      <c r="H35" s="8">
        <v>6</v>
      </c>
      <c r="I35" s="8">
        <v>7</v>
      </c>
      <c r="J35" s="8">
        <v>8</v>
      </c>
      <c r="K35" s="8">
        <v>9</v>
      </c>
    </row>
    <row r="36">
      <c r="A36" s="11">
        <v>0</v>
      </c>
      <c r="B36" s="12">
        <f>IF(($A36+0)&gt;$B$11, "", IFERROR((INDEX($F$12:$F$21,MATCH(($A36+0),$E$12:$E$21,1))+(($A36+0)-INDEX($E$12:$E$21,MATCH(($A36+0),$E$12:$E$21,1)))*(IFERROR(INDEX($F$12:$F$21,MATCH(($A36+0),$E$12:$E$21,1)+1),INDEX($F$12:$F$21,MATCH(($A36+0),$E$12:$E$21,1)))-INDEX($F$12:$F$21,MATCH(($A36+0),$E$12:$E$21,1)))/IF((IFERROR(INDEX($E$12:$E$21,MATCH(($A36+0),$E$12:$E$21,1)+1),INDEX($E$12:$E$21,MATCH(($A36+0),$E$12:$E$21,1))+1)-INDEX($E$12:$E$21,MATCH(($A36+0),$E$12:$E$21,1)))=0,1,IFERROR(INDEX($E$12:$E$21,MATCH(($A36+0),$E$12:$E$21,1)+1),INDEX($E$12:$E$21,MATCH(($A36+0),$E$12:$E$21,1))+1)-INDEX($E$12:$E$21,MATCH(($A36+0),$E$12:$E$21,1)))),$F$12) * (($B$9 * (($A36+0)/100)) + (($B$10 * (($A36+0)/100)^2) * $B$12)))</f>
        <v>0</v>
      </c>
      <c r="C36" s="12">
        <f>IF(($A36+1)&gt;$B$11, "", IFERROR((INDEX($F$12:$F$21,MATCH(($A36+1),$E$12:$E$21,1))+(($A36+1)-INDEX($E$12:$E$21,MATCH(($A36+1),$E$12:$E$21,1)))*(IFERROR(INDEX($F$12:$F$21,MATCH(($A36+1),$E$12:$E$21,1)+1),INDEX($F$12:$F$21,MATCH(($A36+1),$E$12:$E$21,1)))-INDEX($F$12:$F$21,MATCH(($A36+1),$E$12:$E$21,1)))/IF((IFERROR(INDEX($E$12:$E$21,MATCH(($A36+1),$E$12:$E$21,1)+1),INDEX($E$12:$E$21,MATCH(($A36+1),$E$12:$E$21,1))+1)-INDEX($E$12:$E$21,MATCH(($A36+1),$E$12:$E$21,1)))=0,1,IFERROR(INDEX($E$12:$E$21,MATCH(($A36+1),$E$12:$E$21,1)+1),INDEX($E$12:$E$21,MATCH(($A36+1),$E$12:$E$21,1))+1)-INDEX($E$12:$E$21,MATCH(($A36+1),$E$12:$E$21,1)))),$F$12) * (($B$9 * (($A36+1)/100)) + (($B$10 * (($A36+1)/100)^2) * $B$12)))</f>
        <v>0.3854529525</v>
      </c>
      <c r="D36" s="12">
        <f>IF(($A36+2)&gt;$B$11, "", IFERROR((INDEX($F$12:$F$21,MATCH(($A36+2),$E$12:$E$21,1))+(($A36+2)-INDEX($E$12:$E$21,MATCH(($A36+2),$E$12:$E$21,1)))*(IFERROR(INDEX($F$12:$F$21,MATCH(($A36+2),$E$12:$E$21,1)+1),INDEX($F$12:$F$21,MATCH(($A36+2),$E$12:$E$21,1)))-INDEX($F$12:$F$21,MATCH(($A36+2),$E$12:$E$21,1)))/IF((IFERROR(INDEX($E$12:$E$21,MATCH(($A36+2),$E$12:$E$21,1)+1),INDEX($E$12:$E$21,MATCH(($A36+2),$E$12:$E$21,1))+1)-INDEX($E$12:$E$21,MATCH(($A36+2),$E$12:$E$21,1)))=0,1,IFERROR(INDEX($E$12:$E$21,MATCH(($A36+2),$E$12:$E$21,1)+1),INDEX($E$12:$E$21,MATCH(($A36+2),$E$12:$E$21,1))+1)-INDEX($E$12:$E$21,MATCH(($A36+2),$E$12:$E$21,1)))),$F$12) * (($B$9 * (($A36+2)/100)) + (($B$10 * (($A36+2)/100)^2) * $B$12)))</f>
        <v>0.77181181</v>
      </c>
      <c r="E36" s="12">
        <f>IF(($A36+3)&gt;$B$11, "", IFERROR((INDEX($F$12:$F$21,MATCH(($A36+3),$E$12:$E$21,1))+(($A36+3)-INDEX($E$12:$E$21,MATCH(($A36+3),$E$12:$E$21,1)))*(IFERROR(INDEX($F$12:$F$21,MATCH(($A36+3),$E$12:$E$21,1)+1),INDEX($F$12:$F$21,MATCH(($A36+3),$E$12:$E$21,1)))-INDEX($F$12:$F$21,MATCH(($A36+3),$E$12:$E$21,1)))/IF((IFERROR(INDEX($E$12:$E$21,MATCH(($A36+3),$E$12:$E$21,1)+1),INDEX($E$12:$E$21,MATCH(($A36+3),$E$12:$E$21,1))+1)-INDEX($E$12:$E$21,MATCH(($A36+3),$E$12:$E$21,1)))=0,1,IFERROR(INDEX($E$12:$E$21,MATCH(($A36+3),$E$12:$E$21,1)+1),INDEX($E$12:$E$21,MATCH(($A36+3),$E$12:$E$21,1))+1)-INDEX($E$12:$E$21,MATCH(($A36+3),$E$12:$E$21,1)))),$F$12) * (($B$9 * (($A36+3)/100)) + (($B$10 * (($A36+3)/100)^2) * $B$12)))</f>
        <v>1.1590765725</v>
      </c>
      <c r="F36" s="12">
        <f>IF(($A36+4)&gt;$B$11, "", IFERROR((INDEX($F$12:$F$21,MATCH(($A36+4),$E$12:$E$21,1))+(($A36+4)-INDEX($E$12:$E$21,MATCH(($A36+4),$E$12:$E$21,1)))*(IFERROR(INDEX($F$12:$F$21,MATCH(($A36+4),$E$12:$E$21,1)+1),INDEX($F$12:$F$21,MATCH(($A36+4),$E$12:$E$21,1)))-INDEX($F$12:$F$21,MATCH(($A36+4),$E$12:$E$21,1)))/IF((IFERROR(INDEX($E$12:$E$21,MATCH(($A36+4),$E$12:$E$21,1)+1),INDEX($E$12:$E$21,MATCH(($A36+4),$E$12:$E$21,1))+1)-INDEX($E$12:$E$21,MATCH(($A36+4),$E$12:$E$21,1)))=0,1,IFERROR(INDEX($E$12:$E$21,MATCH(($A36+4),$E$12:$E$21,1)+1),INDEX($E$12:$E$21,MATCH(($A36+4),$E$12:$E$21,1))+1)-INDEX($E$12:$E$21,MATCH(($A36+4),$E$12:$E$21,1)))),$F$12) * (($B$9 * (($A36+4)/100)) + (($B$10 * (($A36+4)/100)^2) * $B$12)))</f>
        <v>1.5472472400000001</v>
      </c>
      <c r="G36" s="12">
        <f>IF(($A36+5)&gt;$B$11, "", IFERROR((INDEX($F$12:$F$21,MATCH(($A36+5),$E$12:$E$21,1))+(($A36+5)-INDEX($E$12:$E$21,MATCH(($A36+5),$E$12:$E$21,1)))*(IFERROR(INDEX($F$12:$F$21,MATCH(($A36+5),$E$12:$E$21,1)+1),INDEX($F$12:$F$21,MATCH(($A36+5),$E$12:$E$21,1)))-INDEX($F$12:$F$21,MATCH(($A36+5),$E$12:$E$21,1)))/IF((IFERROR(INDEX($E$12:$E$21,MATCH(($A36+5),$E$12:$E$21,1)+1),INDEX($E$12:$E$21,MATCH(($A36+5),$E$12:$E$21,1))+1)-INDEX($E$12:$E$21,MATCH(($A36+5),$E$12:$E$21,1)))=0,1,IFERROR(INDEX($E$12:$E$21,MATCH(($A36+5),$E$12:$E$21,1)+1),INDEX($E$12:$E$21,MATCH(($A36+5),$E$12:$E$21,1))+1)-INDEX($E$12:$E$21,MATCH(($A36+5),$E$12:$E$21,1)))),$F$12) * (($B$9 * (($A36+5)/100)) + (($B$10 * (($A36+5)/100)^2) * $B$12)))</f>
        <v>1.9363238125</v>
      </c>
      <c r="H36" s="12">
        <f>IF(($A36+6)&gt;$B$11, "", IFERROR((INDEX($F$12:$F$21,MATCH(($A36+6),$E$12:$E$21,1))+(($A36+6)-INDEX($E$12:$E$21,MATCH(($A36+6),$E$12:$E$21,1)))*(IFERROR(INDEX($F$12:$F$21,MATCH(($A36+6),$E$12:$E$21,1)+1),INDEX($F$12:$F$21,MATCH(($A36+6),$E$12:$E$21,1)))-INDEX($F$12:$F$21,MATCH(($A36+6),$E$12:$E$21,1)))/IF((IFERROR(INDEX($E$12:$E$21,MATCH(($A36+6),$E$12:$E$21,1)+1),INDEX($E$12:$E$21,MATCH(($A36+6),$E$12:$E$21,1))+1)-INDEX($E$12:$E$21,MATCH(($A36+6),$E$12:$E$21,1)))=0,1,IFERROR(INDEX($E$12:$E$21,MATCH(($A36+6),$E$12:$E$21,1)+1),INDEX($E$12:$E$21,MATCH(($A36+6),$E$12:$E$21,1))+1)-INDEX($E$12:$E$21,MATCH(($A36+6),$E$12:$E$21,1)))),$F$12) * (($B$9 * (($A36+6)/100)) + (($B$10 * (($A36+6)/100)^2) * $B$12)))</f>
        <v>2.3263062899999998</v>
      </c>
      <c r="I36" s="12">
        <f>IF(($A36+7)&gt;$B$11, "", IFERROR((INDEX($F$12:$F$21,MATCH(($A36+7),$E$12:$E$21,1))+(($A36+7)-INDEX($E$12:$E$21,MATCH(($A36+7),$E$12:$E$21,1)))*(IFERROR(INDEX($F$12:$F$21,MATCH(($A36+7),$E$12:$E$21,1)+1),INDEX($F$12:$F$21,MATCH(($A36+7),$E$12:$E$21,1)))-INDEX($F$12:$F$21,MATCH(($A36+7),$E$12:$E$21,1)))/IF((IFERROR(INDEX($E$12:$E$21,MATCH(($A36+7),$E$12:$E$21,1)+1),INDEX($E$12:$E$21,MATCH(($A36+7),$E$12:$E$21,1))+1)-INDEX($E$12:$E$21,MATCH(($A36+7),$E$12:$E$21,1)))=0,1,IFERROR(INDEX($E$12:$E$21,MATCH(($A36+7),$E$12:$E$21,1)+1),INDEX($E$12:$E$21,MATCH(($A36+7),$E$12:$E$21,1))+1)-INDEX($E$12:$E$21,MATCH(($A36+7),$E$12:$E$21,1)))),$F$12) * (($B$9 * (($A36+7)/100)) + (($B$10 * (($A36+7)/100)^2) * $B$12)))</f>
        <v>2.7171946725000007</v>
      </c>
      <c r="J36" s="12">
        <f>IF(($A36+8)&gt;$B$11, "", IFERROR((INDEX($F$12:$F$21,MATCH(($A36+8),$E$12:$E$21,1))+(($A36+8)-INDEX($E$12:$E$21,MATCH(($A36+8),$E$12:$E$21,1)))*(IFERROR(INDEX($F$12:$F$21,MATCH(($A36+8),$E$12:$E$21,1)+1),INDEX($F$12:$F$21,MATCH(($A36+8),$E$12:$E$21,1)))-INDEX($F$12:$F$21,MATCH(($A36+8),$E$12:$E$21,1)))/IF((IFERROR(INDEX($E$12:$E$21,MATCH(($A36+8),$E$12:$E$21,1)+1),INDEX($E$12:$E$21,MATCH(($A36+8),$E$12:$E$21,1))+1)-INDEX($E$12:$E$21,MATCH(($A36+8),$E$12:$E$21,1)))=0,1,IFERROR(INDEX($E$12:$E$21,MATCH(($A36+8),$E$12:$E$21,1)+1),INDEX($E$12:$E$21,MATCH(($A36+8),$E$12:$E$21,1))+1)-INDEX($E$12:$E$21,MATCH(($A36+8),$E$12:$E$21,1)))),$F$12) * (($B$9 * (($A36+8)/100)) + (($B$10 * (($A36+8)/100)^2) * $B$12)))</f>
        <v>3.1089889600000005</v>
      </c>
      <c r="K36" s="12">
        <f>IF(($A36+9)&gt;$B$11, "", IFERROR((INDEX($F$12:$F$21,MATCH(($A36+9),$E$12:$E$21,1))+(($A36+9)-INDEX($E$12:$E$21,MATCH(($A36+9),$E$12:$E$21,1)))*(IFERROR(INDEX($F$12:$F$21,MATCH(($A36+9),$E$12:$E$21,1)+1),INDEX($F$12:$F$21,MATCH(($A36+9),$E$12:$E$21,1)))-INDEX($F$12:$F$21,MATCH(($A36+9),$E$12:$E$21,1)))/IF((IFERROR(INDEX($E$12:$E$21,MATCH(($A36+9),$E$12:$E$21,1)+1),INDEX($E$12:$E$21,MATCH(($A36+9),$E$12:$E$21,1))+1)-INDEX($E$12:$E$21,MATCH(($A36+9),$E$12:$E$21,1)))=0,1,IFERROR(INDEX($E$12:$E$21,MATCH(($A36+9),$E$12:$E$21,1)+1),INDEX($E$12:$E$21,MATCH(($A36+9),$E$12:$E$21,1))+1)-INDEX($E$12:$E$21,MATCH(($A36+9),$E$12:$E$21,1)))),$F$12) * (($B$9 * (($A36+9)/100)) + (($B$10 * (($A36+9)/100)^2) * $B$12)))</f>
        <v>3.5016891524999996</v>
      </c>
    </row>
    <row r="37">
      <c r="A37" s="11">
        <v>10</v>
      </c>
      <c r="B37" s="12">
        <f>IF(($A37+0)&gt;$B$11, "", IFERROR((INDEX($F$12:$F$21,MATCH(($A37+0),$E$12:$E$21,1))+(($A37+0)-INDEX($E$12:$E$21,MATCH(($A37+0),$E$12:$E$21,1)))*(IFERROR(INDEX($F$12:$F$21,MATCH(($A37+0),$E$12:$E$21,1)+1),INDEX($F$12:$F$21,MATCH(($A37+0),$E$12:$E$21,1)))-INDEX($F$12:$F$21,MATCH(($A37+0),$E$12:$E$21,1)))/IF((IFERROR(INDEX($E$12:$E$21,MATCH(($A37+0),$E$12:$E$21,1)+1),INDEX($E$12:$E$21,MATCH(($A37+0),$E$12:$E$21,1))+1)-INDEX($E$12:$E$21,MATCH(($A37+0),$E$12:$E$21,1)))=0,1,IFERROR(INDEX($E$12:$E$21,MATCH(($A37+0),$E$12:$E$21,1)+1),INDEX($E$12:$E$21,MATCH(($A37+0),$E$12:$E$21,1))+1)-INDEX($E$12:$E$21,MATCH(($A37+0),$E$12:$E$21,1)))),$F$12) * (($B$9 * (($A37+0)/100)) + (($B$10 * (($A37+0)/100)^2) * $B$12)))</f>
        <v>3.89529525</v>
      </c>
      <c r="C37" s="12">
        <f>IF(($A37+1)&gt;$B$11, "", IFERROR((INDEX($F$12:$F$21,MATCH(($A37+1),$E$12:$E$21,1))+(($A37+1)-INDEX($E$12:$E$21,MATCH(($A37+1),$E$12:$E$21,1)))*(IFERROR(INDEX($F$12:$F$21,MATCH(($A37+1),$E$12:$E$21,1)+1),INDEX($F$12:$F$21,MATCH(($A37+1),$E$12:$E$21,1)))-INDEX($F$12:$F$21,MATCH(($A37+1),$E$12:$E$21,1)))/IF((IFERROR(INDEX($E$12:$E$21,MATCH(($A37+1),$E$12:$E$21,1)+1),INDEX($E$12:$E$21,MATCH(($A37+1),$E$12:$E$21,1))+1)-INDEX($E$12:$E$21,MATCH(($A37+1),$E$12:$E$21,1)))=0,1,IFERROR(INDEX($E$12:$E$21,MATCH(($A37+1),$E$12:$E$21,1)+1),INDEX($E$12:$E$21,MATCH(($A37+1),$E$12:$E$21,1))+1)-INDEX($E$12:$E$21,MATCH(($A37+1),$E$12:$E$21,1)))),$F$12) * (($B$9 * (($A37+1)/100)) + (($B$10 * (($A37+1)/100)^2) * $B$12)))</f>
        <v>4.2898072525</v>
      </c>
      <c r="D37" s="12">
        <f>IF(($A37+2)&gt;$B$11, "", IFERROR((INDEX($F$12:$F$21,MATCH(($A37+2),$E$12:$E$21,1))+(($A37+2)-INDEX($E$12:$E$21,MATCH(($A37+2),$E$12:$E$21,1)))*(IFERROR(INDEX($F$12:$F$21,MATCH(($A37+2),$E$12:$E$21,1)+1),INDEX($F$12:$F$21,MATCH(($A37+2),$E$12:$E$21,1)))-INDEX($F$12:$F$21,MATCH(($A37+2),$E$12:$E$21,1)))/IF((IFERROR(INDEX($E$12:$E$21,MATCH(($A37+2),$E$12:$E$21,1)+1),INDEX($E$12:$E$21,MATCH(($A37+2),$E$12:$E$21,1))+1)-INDEX($E$12:$E$21,MATCH(($A37+2),$E$12:$E$21,1)))=0,1,IFERROR(INDEX($E$12:$E$21,MATCH(($A37+2),$E$12:$E$21,1)+1),INDEX($E$12:$E$21,MATCH(($A37+2),$E$12:$E$21,1))+1)-INDEX($E$12:$E$21,MATCH(($A37+2),$E$12:$E$21,1)))),$F$12) * (($B$9 * (($A37+2)/100)) + (($B$10 * (($A37+2)/100)^2) * $B$12)))</f>
        <v>4.68522516</v>
      </c>
      <c r="E37" s="12">
        <f>IF(($A37+3)&gt;$B$11, "", IFERROR((INDEX($F$12:$F$21,MATCH(($A37+3),$E$12:$E$21,1))+(($A37+3)-INDEX($E$12:$E$21,MATCH(($A37+3),$E$12:$E$21,1)))*(IFERROR(INDEX($F$12:$F$21,MATCH(($A37+3),$E$12:$E$21,1)+1),INDEX($F$12:$F$21,MATCH(($A37+3),$E$12:$E$21,1)))-INDEX($F$12:$F$21,MATCH(($A37+3),$E$12:$E$21,1)))/IF((IFERROR(INDEX($E$12:$E$21,MATCH(($A37+3),$E$12:$E$21,1)+1),INDEX($E$12:$E$21,MATCH(($A37+3),$E$12:$E$21,1))+1)-INDEX($E$12:$E$21,MATCH(($A37+3),$E$12:$E$21,1)))=0,1,IFERROR(INDEX($E$12:$E$21,MATCH(($A37+3),$E$12:$E$21,1)+1),INDEX($E$12:$E$21,MATCH(($A37+3),$E$12:$E$21,1))+1)-INDEX($E$12:$E$21,MATCH(($A37+3),$E$12:$E$21,1)))),$F$12) * (($B$9 * (($A37+3)/100)) + (($B$10 * (($A37+3)/100)^2) * $B$12)))</f>
        <v>5.0815489725</v>
      </c>
      <c r="F37" s="12">
        <f>IF(($A37+4)&gt;$B$11, "", IFERROR((INDEX($F$12:$F$21,MATCH(($A37+4),$E$12:$E$21,1))+(($A37+4)-INDEX($E$12:$E$21,MATCH(($A37+4),$E$12:$E$21,1)))*(IFERROR(INDEX($F$12:$F$21,MATCH(($A37+4),$E$12:$E$21,1)+1),INDEX($F$12:$F$21,MATCH(($A37+4),$E$12:$E$21,1)))-INDEX($F$12:$F$21,MATCH(($A37+4),$E$12:$E$21,1)))/IF((IFERROR(INDEX($E$12:$E$21,MATCH(($A37+4),$E$12:$E$21,1)+1),INDEX($E$12:$E$21,MATCH(($A37+4),$E$12:$E$21,1))+1)-INDEX($E$12:$E$21,MATCH(($A37+4),$E$12:$E$21,1)))=0,1,IFERROR(INDEX($E$12:$E$21,MATCH(($A37+4),$E$12:$E$21,1)+1),INDEX($E$12:$E$21,MATCH(($A37+4),$E$12:$E$21,1))+1)-INDEX($E$12:$E$21,MATCH(($A37+4),$E$12:$E$21,1)))),$F$12) * (($B$9 * (($A37+4)/100)) + (($B$10 * (($A37+4)/100)^2) * $B$12)))</f>
        <v>5.47877869</v>
      </c>
      <c r="G37" s="12">
        <f>IF(($A37+5)&gt;$B$11, "", IFERROR((INDEX($F$12:$F$21,MATCH(($A37+5),$E$12:$E$21,1))+(($A37+5)-INDEX($E$12:$E$21,MATCH(($A37+5),$E$12:$E$21,1)))*(IFERROR(INDEX($F$12:$F$21,MATCH(($A37+5),$E$12:$E$21,1)+1),INDEX($F$12:$F$21,MATCH(($A37+5),$E$12:$E$21,1)))-INDEX($F$12:$F$21,MATCH(($A37+5),$E$12:$E$21,1)))/IF((IFERROR(INDEX($E$12:$E$21,MATCH(($A37+5),$E$12:$E$21,1)+1),INDEX($E$12:$E$21,MATCH(($A37+5),$E$12:$E$21,1))+1)-INDEX($E$12:$E$21,MATCH(($A37+5),$E$12:$E$21,1)))=0,1,IFERROR(INDEX($E$12:$E$21,MATCH(($A37+5),$E$12:$E$21,1)+1),INDEX($E$12:$E$21,MATCH(($A37+5),$E$12:$E$21,1))+1)-INDEX($E$12:$E$21,MATCH(($A37+5),$E$12:$E$21,1)))),$F$12) * (($B$9 * (($A37+5)/100)) + (($B$10 * (($A37+5)/100)^2) * $B$12)))</f>
        <v>5.8769143125</v>
      </c>
      <c r="H37" s="12" t="str">
        <f>IF(($A37+6)&gt;$B$11, "", IFERROR((INDEX($F$12:$F$21,MATCH(($A37+6),$E$12:$E$21,1))+(($A37+6)-INDEX($E$12:$E$21,MATCH(($A37+6),$E$12:$E$21,1)))*(IFERROR(INDEX($F$12:$F$21,MATCH(($A37+6),$E$12:$E$21,1)+1),INDEX($F$12:$F$21,MATCH(($A37+6),$E$12:$E$21,1)))-INDEX($F$12:$F$21,MATCH(($A37+6),$E$12:$E$21,1)))/IF((IFERROR(INDEX($E$12:$E$21,MATCH(($A37+6),$E$12:$E$21,1)+1),INDEX($E$12:$E$21,MATCH(($A37+6),$E$12:$E$21,1))+1)-INDEX($E$12:$E$21,MATCH(($A37+6),$E$12:$E$21,1)))=0,1,IFERROR(INDEX($E$12:$E$21,MATCH(($A37+6),$E$12:$E$21,1)+1),INDEX($E$12:$E$21,MATCH(($A37+6),$E$12:$E$21,1))+1)-INDEX($E$12:$E$21,MATCH(($A37+6),$E$12:$E$21,1)))),$F$12) * (($B$9 * (($A37+6)/100)) + (($B$10 * (($A37+6)/100)^2) * $B$12)))</f>
        <v/>
      </c>
      <c r="I37" s="12" t="str">
        <f>IF(($A37+7)&gt;$B$11, "", IFERROR((INDEX($F$12:$F$21,MATCH(($A37+7),$E$12:$E$21,1))+(($A37+7)-INDEX($E$12:$E$21,MATCH(($A37+7),$E$12:$E$21,1)))*(IFERROR(INDEX($F$12:$F$21,MATCH(($A37+7),$E$12:$E$21,1)+1),INDEX($F$12:$F$21,MATCH(($A37+7),$E$12:$E$21,1)))-INDEX($F$12:$F$21,MATCH(($A37+7),$E$12:$E$21,1)))/IF((IFERROR(INDEX($E$12:$E$21,MATCH(($A37+7),$E$12:$E$21,1)+1),INDEX($E$12:$E$21,MATCH(($A37+7),$E$12:$E$21,1))+1)-INDEX($E$12:$E$21,MATCH(($A37+7),$E$12:$E$21,1)))=0,1,IFERROR(INDEX($E$12:$E$21,MATCH(($A37+7),$E$12:$E$21,1)+1),INDEX($E$12:$E$21,MATCH(($A37+7),$E$12:$E$21,1))+1)-INDEX($E$12:$E$21,MATCH(($A37+7),$E$12:$E$21,1)))),$F$12) * (($B$9 * (($A37+7)/100)) + (($B$10 * (($A37+7)/100)^2) * $B$12)))</f>
        <v/>
      </c>
      <c r="J37" s="12" t="str">
        <f>IF(($A37+8)&gt;$B$11, "", IFERROR((INDEX($F$12:$F$21,MATCH(($A37+8),$E$12:$E$21,1))+(($A37+8)-INDEX($E$12:$E$21,MATCH(($A37+8),$E$12:$E$21,1)))*(IFERROR(INDEX($F$12:$F$21,MATCH(($A37+8),$E$12:$E$21,1)+1),INDEX($F$12:$F$21,MATCH(($A37+8),$E$12:$E$21,1)))-INDEX($F$12:$F$21,MATCH(($A37+8),$E$12:$E$21,1)))/IF((IFERROR(INDEX($E$12:$E$21,MATCH(($A37+8),$E$12:$E$21,1)+1),INDEX($E$12:$E$21,MATCH(($A37+8),$E$12:$E$21,1))+1)-INDEX($E$12:$E$21,MATCH(($A37+8),$E$12:$E$21,1)))=0,1,IFERROR(INDEX($E$12:$E$21,MATCH(($A37+8),$E$12:$E$21,1)+1),INDEX($E$12:$E$21,MATCH(($A37+8),$E$12:$E$21,1))+1)-INDEX($E$12:$E$21,MATCH(($A37+8),$E$12:$E$21,1)))),$F$12) * (($B$9 * (($A37+8)/100)) + (($B$10 * (($A37+8)/100)^2) * $B$12)))</f>
        <v/>
      </c>
      <c r="K37" s="12" t="str">
        <f>IF(($A37+9)&gt;$B$11, "", IFERROR((INDEX($F$12:$F$21,MATCH(($A37+9),$E$12:$E$21,1))+(($A37+9)-INDEX($E$12:$E$21,MATCH(($A37+9),$E$12:$E$21,1)))*(IFERROR(INDEX($F$12:$F$21,MATCH(($A37+9),$E$12:$E$21,1)+1),INDEX($F$12:$F$21,MATCH(($A37+9),$E$12:$E$21,1)))-INDEX($F$12:$F$21,MATCH(($A37+9),$E$12:$E$21,1)))/IF((IFERROR(INDEX($E$12:$E$21,MATCH(($A37+9),$E$12:$E$21,1)+1),INDEX($E$12:$E$21,MATCH(($A37+9),$E$12:$E$21,1))+1)-INDEX($E$12:$E$21,MATCH(($A37+9),$E$12:$E$21,1)))=0,1,IFERROR(INDEX($E$12:$E$21,MATCH(($A37+9),$E$12:$E$21,1)+1),INDEX($E$12:$E$21,MATCH(($A37+9),$E$12:$E$21,1))+1)-INDEX($E$12:$E$21,MATCH(($A37+9),$E$12:$E$21,1)))),$F$12) * (($B$9 * (($A37+9)/100)) + (($B$10 * (($A37+9)/100)^2) * $B$12)))</f>
        <v/>
      </c>
    </row>
    <row r="38">
      <c r="A38" s="11">
        <v>20</v>
      </c>
      <c r="B38" s="12" t="str">
        <f>IF(($A38+0)&gt;$B$11, "", IFERROR((INDEX($F$12:$F$21,MATCH(($A38+0),$E$12:$E$21,1))+(($A38+0)-INDEX($E$12:$E$21,MATCH(($A38+0),$E$12:$E$21,1)))*(IFERROR(INDEX($F$12:$F$21,MATCH(($A38+0),$E$12:$E$21,1)+1),INDEX($F$12:$F$21,MATCH(($A38+0),$E$12:$E$21,1)))-INDEX($F$12:$F$21,MATCH(($A38+0),$E$12:$E$21,1)))/IF((IFERROR(INDEX($E$12:$E$21,MATCH(($A38+0),$E$12:$E$21,1)+1),INDEX($E$12:$E$21,MATCH(($A38+0),$E$12:$E$21,1))+1)-INDEX($E$12:$E$21,MATCH(($A38+0),$E$12:$E$21,1)))=0,1,IFERROR(INDEX($E$12:$E$21,MATCH(($A38+0),$E$12:$E$21,1)+1),INDEX($E$12:$E$21,MATCH(($A38+0),$E$12:$E$21,1))+1)-INDEX($E$12:$E$21,MATCH(($A38+0),$E$12:$E$21,1)))),$F$12) * (($B$9 * (($A38+0)/100)) + (($B$10 * (($A38+0)/100)^2) * $B$12)))</f>
        <v/>
      </c>
      <c r="C38" s="12" t="str">
        <f>IF(($A38+1)&gt;$B$11, "", IFERROR((INDEX($F$12:$F$21,MATCH(($A38+1),$E$12:$E$21,1))+(($A38+1)-INDEX($E$12:$E$21,MATCH(($A38+1),$E$12:$E$21,1)))*(IFERROR(INDEX($F$12:$F$21,MATCH(($A38+1),$E$12:$E$21,1)+1),INDEX($F$12:$F$21,MATCH(($A38+1),$E$12:$E$21,1)))-INDEX($F$12:$F$21,MATCH(($A38+1),$E$12:$E$21,1)))/IF((IFERROR(INDEX($E$12:$E$21,MATCH(($A38+1),$E$12:$E$21,1)+1),INDEX($E$12:$E$21,MATCH(($A38+1),$E$12:$E$21,1))+1)-INDEX($E$12:$E$21,MATCH(($A38+1),$E$12:$E$21,1)))=0,1,IFERROR(INDEX($E$12:$E$21,MATCH(($A38+1),$E$12:$E$21,1)+1),INDEX($E$12:$E$21,MATCH(($A38+1),$E$12:$E$21,1))+1)-INDEX($E$12:$E$21,MATCH(($A38+1),$E$12:$E$21,1)))),$F$12) * (($B$9 * (($A38+1)/100)) + (($B$10 * (($A38+1)/100)^2) * $B$12)))</f>
        <v/>
      </c>
      <c r="D38" s="12" t="str">
        <f>IF(($A38+2)&gt;$B$11, "", IFERROR((INDEX($F$12:$F$21,MATCH(($A38+2),$E$12:$E$21,1))+(($A38+2)-INDEX($E$12:$E$21,MATCH(($A38+2),$E$12:$E$21,1)))*(IFERROR(INDEX($F$12:$F$21,MATCH(($A38+2),$E$12:$E$21,1)+1),INDEX($F$12:$F$21,MATCH(($A38+2),$E$12:$E$21,1)))-INDEX($F$12:$F$21,MATCH(($A38+2),$E$12:$E$21,1)))/IF((IFERROR(INDEX($E$12:$E$21,MATCH(($A38+2),$E$12:$E$21,1)+1),INDEX($E$12:$E$21,MATCH(($A38+2),$E$12:$E$21,1))+1)-INDEX($E$12:$E$21,MATCH(($A38+2),$E$12:$E$21,1)))=0,1,IFERROR(INDEX($E$12:$E$21,MATCH(($A38+2),$E$12:$E$21,1)+1),INDEX($E$12:$E$21,MATCH(($A38+2),$E$12:$E$21,1))+1)-INDEX($E$12:$E$21,MATCH(($A38+2),$E$12:$E$21,1)))),$F$12) * (($B$9 * (($A38+2)/100)) + (($B$10 * (($A38+2)/100)^2) * $B$12)))</f>
        <v/>
      </c>
      <c r="E38" s="12" t="str">
        <f>IF(($A38+3)&gt;$B$11, "", IFERROR((INDEX($F$12:$F$21,MATCH(($A38+3),$E$12:$E$21,1))+(($A38+3)-INDEX($E$12:$E$21,MATCH(($A38+3),$E$12:$E$21,1)))*(IFERROR(INDEX($F$12:$F$21,MATCH(($A38+3),$E$12:$E$21,1)+1),INDEX($F$12:$F$21,MATCH(($A38+3),$E$12:$E$21,1)))-INDEX($F$12:$F$21,MATCH(($A38+3),$E$12:$E$21,1)))/IF((IFERROR(INDEX($E$12:$E$21,MATCH(($A38+3),$E$12:$E$21,1)+1),INDEX($E$12:$E$21,MATCH(($A38+3),$E$12:$E$21,1))+1)-INDEX($E$12:$E$21,MATCH(($A38+3),$E$12:$E$21,1)))=0,1,IFERROR(INDEX($E$12:$E$21,MATCH(($A38+3),$E$12:$E$21,1)+1),INDEX($E$12:$E$21,MATCH(($A38+3),$E$12:$E$21,1))+1)-INDEX($E$12:$E$21,MATCH(($A38+3),$E$12:$E$21,1)))),$F$12) * (($B$9 * (($A38+3)/100)) + (($B$10 * (($A38+3)/100)^2) * $B$12)))</f>
        <v/>
      </c>
      <c r="F38" s="12" t="str">
        <f>IF(($A38+4)&gt;$B$11, "", IFERROR((INDEX($F$12:$F$21,MATCH(($A38+4),$E$12:$E$21,1))+(($A38+4)-INDEX($E$12:$E$21,MATCH(($A38+4),$E$12:$E$21,1)))*(IFERROR(INDEX($F$12:$F$21,MATCH(($A38+4),$E$12:$E$21,1)+1),INDEX($F$12:$F$21,MATCH(($A38+4),$E$12:$E$21,1)))-INDEX($F$12:$F$21,MATCH(($A38+4),$E$12:$E$21,1)))/IF((IFERROR(INDEX($E$12:$E$21,MATCH(($A38+4),$E$12:$E$21,1)+1),INDEX($E$12:$E$21,MATCH(($A38+4),$E$12:$E$21,1))+1)-INDEX($E$12:$E$21,MATCH(($A38+4),$E$12:$E$21,1)))=0,1,IFERROR(INDEX($E$12:$E$21,MATCH(($A38+4),$E$12:$E$21,1)+1),INDEX($E$12:$E$21,MATCH(($A38+4),$E$12:$E$21,1))+1)-INDEX($E$12:$E$21,MATCH(($A38+4),$E$12:$E$21,1)))),$F$12) * (($B$9 * (($A38+4)/100)) + (($B$10 * (($A38+4)/100)^2) * $B$12)))</f>
        <v/>
      </c>
      <c r="G38" s="12" t="str">
        <f>IF(($A38+5)&gt;$B$11, "", IFERROR((INDEX($F$12:$F$21,MATCH(($A38+5),$E$12:$E$21,1))+(($A38+5)-INDEX($E$12:$E$21,MATCH(($A38+5),$E$12:$E$21,1)))*(IFERROR(INDEX($F$12:$F$21,MATCH(($A38+5),$E$12:$E$21,1)+1),INDEX($F$12:$F$21,MATCH(($A38+5),$E$12:$E$21,1)))-INDEX($F$12:$F$21,MATCH(($A38+5),$E$12:$E$21,1)))/IF((IFERROR(INDEX($E$12:$E$21,MATCH(($A38+5),$E$12:$E$21,1)+1),INDEX($E$12:$E$21,MATCH(($A38+5),$E$12:$E$21,1))+1)-INDEX($E$12:$E$21,MATCH(($A38+5),$E$12:$E$21,1)))=0,1,IFERROR(INDEX($E$12:$E$21,MATCH(($A38+5),$E$12:$E$21,1)+1),INDEX($E$12:$E$21,MATCH(($A38+5),$E$12:$E$21,1))+1)-INDEX($E$12:$E$21,MATCH(($A38+5),$E$12:$E$21,1)))),$F$12) * (($B$9 * (($A38+5)/100)) + (($B$10 * (($A38+5)/100)^2) * $B$12)))</f>
        <v/>
      </c>
      <c r="H38" s="12" t="str">
        <f>IF(($A38+6)&gt;$B$11, "", IFERROR((INDEX($F$12:$F$21,MATCH(($A38+6),$E$12:$E$21,1))+(($A38+6)-INDEX($E$12:$E$21,MATCH(($A38+6),$E$12:$E$21,1)))*(IFERROR(INDEX($F$12:$F$21,MATCH(($A38+6),$E$12:$E$21,1)+1),INDEX($F$12:$F$21,MATCH(($A38+6),$E$12:$E$21,1)))-INDEX($F$12:$F$21,MATCH(($A38+6),$E$12:$E$21,1)))/IF((IFERROR(INDEX($E$12:$E$21,MATCH(($A38+6),$E$12:$E$21,1)+1),INDEX($E$12:$E$21,MATCH(($A38+6),$E$12:$E$21,1))+1)-INDEX($E$12:$E$21,MATCH(($A38+6),$E$12:$E$21,1)))=0,1,IFERROR(INDEX($E$12:$E$21,MATCH(($A38+6),$E$12:$E$21,1)+1),INDEX($E$12:$E$21,MATCH(($A38+6),$E$12:$E$21,1))+1)-INDEX($E$12:$E$21,MATCH(($A38+6),$E$12:$E$21,1)))),$F$12) * (($B$9 * (($A38+6)/100)) + (($B$10 * (($A38+6)/100)^2) * $B$12)))</f>
        <v/>
      </c>
      <c r="I38" s="12" t="str">
        <f>IF(($A38+7)&gt;$B$11, "", IFERROR((INDEX($F$12:$F$21,MATCH(($A38+7),$E$12:$E$21,1))+(($A38+7)-INDEX($E$12:$E$21,MATCH(($A38+7),$E$12:$E$21,1)))*(IFERROR(INDEX($F$12:$F$21,MATCH(($A38+7),$E$12:$E$21,1)+1),INDEX($F$12:$F$21,MATCH(($A38+7),$E$12:$E$21,1)))-INDEX($F$12:$F$21,MATCH(($A38+7),$E$12:$E$21,1)))/IF((IFERROR(INDEX($E$12:$E$21,MATCH(($A38+7),$E$12:$E$21,1)+1),INDEX($E$12:$E$21,MATCH(($A38+7),$E$12:$E$21,1))+1)-INDEX($E$12:$E$21,MATCH(($A38+7),$E$12:$E$21,1)))=0,1,IFERROR(INDEX($E$12:$E$21,MATCH(($A38+7),$E$12:$E$21,1)+1),INDEX($E$12:$E$21,MATCH(($A38+7),$E$12:$E$21,1))+1)-INDEX($E$12:$E$21,MATCH(($A38+7),$E$12:$E$21,1)))),$F$12) * (($B$9 * (($A38+7)/100)) + (($B$10 * (($A38+7)/100)^2) * $B$12)))</f>
        <v/>
      </c>
      <c r="J38" s="12" t="str">
        <f>IF(($A38+8)&gt;$B$11, "", IFERROR((INDEX($F$12:$F$21,MATCH(($A38+8),$E$12:$E$21,1))+(($A38+8)-INDEX($E$12:$E$21,MATCH(($A38+8),$E$12:$E$21,1)))*(IFERROR(INDEX($F$12:$F$21,MATCH(($A38+8),$E$12:$E$21,1)+1),INDEX($F$12:$F$21,MATCH(($A38+8),$E$12:$E$21,1)))-INDEX($F$12:$F$21,MATCH(($A38+8),$E$12:$E$21,1)))/IF((IFERROR(INDEX($E$12:$E$21,MATCH(($A38+8),$E$12:$E$21,1)+1),INDEX($E$12:$E$21,MATCH(($A38+8),$E$12:$E$21,1))+1)-INDEX($E$12:$E$21,MATCH(($A38+8),$E$12:$E$21,1)))=0,1,IFERROR(INDEX($E$12:$E$21,MATCH(($A38+8),$E$12:$E$21,1)+1),INDEX($E$12:$E$21,MATCH(($A38+8),$E$12:$E$21,1))+1)-INDEX($E$12:$E$21,MATCH(($A38+8),$E$12:$E$21,1)))),$F$12) * (($B$9 * (($A38+8)/100)) + (($B$10 * (($A38+8)/100)^2) * $B$12)))</f>
        <v/>
      </c>
      <c r="K38" s="12" t="str">
        <f>IF(($A38+9)&gt;$B$11, "", IFERROR((INDEX($F$12:$F$21,MATCH(($A38+9),$E$12:$E$21,1))+(($A38+9)-INDEX($E$12:$E$21,MATCH(($A38+9),$E$12:$E$21,1)))*(IFERROR(INDEX($F$12:$F$21,MATCH(($A38+9),$E$12:$E$21,1)+1),INDEX($F$12:$F$21,MATCH(($A38+9),$E$12:$E$21,1)))-INDEX($F$12:$F$21,MATCH(($A38+9),$E$12:$E$21,1)))/IF((IFERROR(INDEX($E$12:$E$21,MATCH(($A38+9),$E$12:$E$21,1)+1),INDEX($E$12:$E$21,MATCH(($A38+9),$E$12:$E$21,1))+1)-INDEX($E$12:$E$21,MATCH(($A38+9),$E$12:$E$21,1)))=0,1,IFERROR(INDEX($E$12:$E$21,MATCH(($A38+9),$E$12:$E$21,1)+1),INDEX($E$12:$E$21,MATCH(($A38+9),$E$12:$E$21,1))+1)-INDEX($E$12:$E$21,MATCH(($A38+9),$E$12:$E$21,1)))),$F$12) * (($B$9 * (($A38+9)/100)) + (($B$10 * (($A38+9)/100)^2) * $B$12)))</f>
        <v/>
      </c>
    </row>
    <row r="39">
      <c r="A39" s="11">
        <v>30</v>
      </c>
      <c r="B39" s="12" t="str">
        <f>IF(($A39+0)&gt;$B$11, "", IFERROR((INDEX($F$12:$F$21,MATCH(($A39+0),$E$12:$E$21,1))+(($A39+0)-INDEX($E$12:$E$21,MATCH(($A39+0),$E$12:$E$21,1)))*(IFERROR(INDEX($F$12:$F$21,MATCH(($A39+0),$E$12:$E$21,1)+1),INDEX($F$12:$F$21,MATCH(($A39+0),$E$12:$E$21,1)))-INDEX($F$12:$F$21,MATCH(($A39+0),$E$12:$E$21,1)))/IF((IFERROR(INDEX($E$12:$E$21,MATCH(($A39+0),$E$12:$E$21,1)+1),INDEX($E$12:$E$21,MATCH(($A39+0),$E$12:$E$21,1))+1)-INDEX($E$12:$E$21,MATCH(($A39+0),$E$12:$E$21,1)))=0,1,IFERROR(INDEX($E$12:$E$21,MATCH(($A39+0),$E$12:$E$21,1)+1),INDEX($E$12:$E$21,MATCH(($A39+0),$E$12:$E$21,1))+1)-INDEX($E$12:$E$21,MATCH(($A39+0),$E$12:$E$21,1)))),$F$12) * (($B$9 * (($A39+0)/100)) + (($B$10 * (($A39+0)/100)^2) * $B$12)))</f>
        <v/>
      </c>
      <c r="C39" s="12" t="str">
        <f>IF(($A39+1)&gt;$B$11, "", IFERROR((INDEX($F$12:$F$21,MATCH(($A39+1),$E$12:$E$21,1))+(($A39+1)-INDEX($E$12:$E$21,MATCH(($A39+1),$E$12:$E$21,1)))*(IFERROR(INDEX($F$12:$F$21,MATCH(($A39+1),$E$12:$E$21,1)+1),INDEX($F$12:$F$21,MATCH(($A39+1),$E$12:$E$21,1)))-INDEX($F$12:$F$21,MATCH(($A39+1),$E$12:$E$21,1)))/IF((IFERROR(INDEX($E$12:$E$21,MATCH(($A39+1),$E$12:$E$21,1)+1),INDEX($E$12:$E$21,MATCH(($A39+1),$E$12:$E$21,1))+1)-INDEX($E$12:$E$21,MATCH(($A39+1),$E$12:$E$21,1)))=0,1,IFERROR(INDEX($E$12:$E$21,MATCH(($A39+1),$E$12:$E$21,1)+1),INDEX($E$12:$E$21,MATCH(($A39+1),$E$12:$E$21,1))+1)-INDEX($E$12:$E$21,MATCH(($A39+1),$E$12:$E$21,1)))),$F$12) * (($B$9 * (($A39+1)/100)) + (($B$10 * (($A39+1)/100)^2) * $B$12)))</f>
        <v/>
      </c>
      <c r="D39" s="12" t="str">
        <f>IF(($A39+2)&gt;$B$11, "", IFERROR((INDEX($F$12:$F$21,MATCH(($A39+2),$E$12:$E$21,1))+(($A39+2)-INDEX($E$12:$E$21,MATCH(($A39+2),$E$12:$E$21,1)))*(IFERROR(INDEX($F$12:$F$21,MATCH(($A39+2),$E$12:$E$21,1)+1),INDEX($F$12:$F$21,MATCH(($A39+2),$E$12:$E$21,1)))-INDEX($F$12:$F$21,MATCH(($A39+2),$E$12:$E$21,1)))/IF((IFERROR(INDEX($E$12:$E$21,MATCH(($A39+2),$E$12:$E$21,1)+1),INDEX($E$12:$E$21,MATCH(($A39+2),$E$12:$E$21,1))+1)-INDEX($E$12:$E$21,MATCH(($A39+2),$E$12:$E$21,1)))=0,1,IFERROR(INDEX($E$12:$E$21,MATCH(($A39+2),$E$12:$E$21,1)+1),INDEX($E$12:$E$21,MATCH(($A39+2),$E$12:$E$21,1))+1)-INDEX($E$12:$E$21,MATCH(($A39+2),$E$12:$E$21,1)))),$F$12) * (($B$9 * (($A39+2)/100)) + (($B$10 * (($A39+2)/100)^2) * $B$12)))</f>
        <v/>
      </c>
      <c r="E39" s="12" t="str">
        <f>IF(($A39+3)&gt;$B$11, "", IFERROR((INDEX($F$12:$F$21,MATCH(($A39+3),$E$12:$E$21,1))+(($A39+3)-INDEX($E$12:$E$21,MATCH(($A39+3),$E$12:$E$21,1)))*(IFERROR(INDEX($F$12:$F$21,MATCH(($A39+3),$E$12:$E$21,1)+1),INDEX($F$12:$F$21,MATCH(($A39+3),$E$12:$E$21,1)))-INDEX($F$12:$F$21,MATCH(($A39+3),$E$12:$E$21,1)))/IF((IFERROR(INDEX($E$12:$E$21,MATCH(($A39+3),$E$12:$E$21,1)+1),INDEX($E$12:$E$21,MATCH(($A39+3),$E$12:$E$21,1))+1)-INDEX($E$12:$E$21,MATCH(($A39+3),$E$12:$E$21,1)))=0,1,IFERROR(INDEX($E$12:$E$21,MATCH(($A39+3),$E$12:$E$21,1)+1),INDEX($E$12:$E$21,MATCH(($A39+3),$E$12:$E$21,1))+1)-INDEX($E$12:$E$21,MATCH(($A39+3),$E$12:$E$21,1)))),$F$12) * (($B$9 * (($A39+3)/100)) + (($B$10 * (($A39+3)/100)^2) * $B$12)))</f>
        <v/>
      </c>
      <c r="F39" s="12" t="str">
        <f>IF(($A39+4)&gt;$B$11, "", IFERROR((INDEX($F$12:$F$21,MATCH(($A39+4),$E$12:$E$21,1))+(($A39+4)-INDEX($E$12:$E$21,MATCH(($A39+4),$E$12:$E$21,1)))*(IFERROR(INDEX($F$12:$F$21,MATCH(($A39+4),$E$12:$E$21,1)+1),INDEX($F$12:$F$21,MATCH(($A39+4),$E$12:$E$21,1)))-INDEX($F$12:$F$21,MATCH(($A39+4),$E$12:$E$21,1)))/IF((IFERROR(INDEX($E$12:$E$21,MATCH(($A39+4),$E$12:$E$21,1)+1),INDEX($E$12:$E$21,MATCH(($A39+4),$E$12:$E$21,1))+1)-INDEX($E$12:$E$21,MATCH(($A39+4),$E$12:$E$21,1)))=0,1,IFERROR(INDEX($E$12:$E$21,MATCH(($A39+4),$E$12:$E$21,1)+1),INDEX($E$12:$E$21,MATCH(($A39+4),$E$12:$E$21,1))+1)-INDEX($E$12:$E$21,MATCH(($A39+4),$E$12:$E$21,1)))),$F$12) * (($B$9 * (($A39+4)/100)) + (($B$10 * (($A39+4)/100)^2) * $B$12)))</f>
        <v/>
      </c>
      <c r="G39" s="12" t="str">
        <f>IF(($A39+5)&gt;$B$11, "", IFERROR((INDEX($F$12:$F$21,MATCH(($A39+5),$E$12:$E$21,1))+(($A39+5)-INDEX($E$12:$E$21,MATCH(($A39+5),$E$12:$E$21,1)))*(IFERROR(INDEX($F$12:$F$21,MATCH(($A39+5),$E$12:$E$21,1)+1),INDEX($F$12:$F$21,MATCH(($A39+5),$E$12:$E$21,1)))-INDEX($F$12:$F$21,MATCH(($A39+5),$E$12:$E$21,1)))/IF((IFERROR(INDEX($E$12:$E$21,MATCH(($A39+5),$E$12:$E$21,1)+1),INDEX($E$12:$E$21,MATCH(($A39+5),$E$12:$E$21,1))+1)-INDEX($E$12:$E$21,MATCH(($A39+5),$E$12:$E$21,1)))=0,1,IFERROR(INDEX($E$12:$E$21,MATCH(($A39+5),$E$12:$E$21,1)+1),INDEX($E$12:$E$21,MATCH(($A39+5),$E$12:$E$21,1))+1)-INDEX($E$12:$E$21,MATCH(($A39+5),$E$12:$E$21,1)))),$F$12) * (($B$9 * (($A39+5)/100)) + (($B$10 * (($A39+5)/100)^2) * $B$12)))</f>
        <v/>
      </c>
      <c r="H39" s="12" t="str">
        <f>IF(($A39+6)&gt;$B$11, "", IFERROR((INDEX($F$12:$F$21,MATCH(($A39+6),$E$12:$E$21,1))+(($A39+6)-INDEX($E$12:$E$21,MATCH(($A39+6),$E$12:$E$21,1)))*(IFERROR(INDEX($F$12:$F$21,MATCH(($A39+6),$E$12:$E$21,1)+1),INDEX($F$12:$F$21,MATCH(($A39+6),$E$12:$E$21,1)))-INDEX($F$12:$F$21,MATCH(($A39+6),$E$12:$E$21,1)))/IF((IFERROR(INDEX($E$12:$E$21,MATCH(($A39+6),$E$12:$E$21,1)+1),INDEX($E$12:$E$21,MATCH(($A39+6),$E$12:$E$21,1))+1)-INDEX($E$12:$E$21,MATCH(($A39+6),$E$12:$E$21,1)))=0,1,IFERROR(INDEX($E$12:$E$21,MATCH(($A39+6),$E$12:$E$21,1)+1),INDEX($E$12:$E$21,MATCH(($A39+6),$E$12:$E$21,1))+1)-INDEX($E$12:$E$21,MATCH(($A39+6),$E$12:$E$21,1)))),$F$12) * (($B$9 * (($A39+6)/100)) + (($B$10 * (($A39+6)/100)^2) * $B$12)))</f>
        <v/>
      </c>
      <c r="I39" s="12" t="str">
        <f>IF(($A39+7)&gt;$B$11, "", IFERROR((INDEX($F$12:$F$21,MATCH(($A39+7),$E$12:$E$21,1))+(($A39+7)-INDEX($E$12:$E$21,MATCH(($A39+7),$E$12:$E$21,1)))*(IFERROR(INDEX($F$12:$F$21,MATCH(($A39+7),$E$12:$E$21,1)+1),INDEX($F$12:$F$21,MATCH(($A39+7),$E$12:$E$21,1)))-INDEX($F$12:$F$21,MATCH(($A39+7),$E$12:$E$21,1)))/IF((IFERROR(INDEX($E$12:$E$21,MATCH(($A39+7),$E$12:$E$21,1)+1),INDEX($E$12:$E$21,MATCH(($A39+7),$E$12:$E$21,1))+1)-INDEX($E$12:$E$21,MATCH(($A39+7),$E$12:$E$21,1)))=0,1,IFERROR(INDEX($E$12:$E$21,MATCH(($A39+7),$E$12:$E$21,1)+1),INDEX($E$12:$E$21,MATCH(($A39+7),$E$12:$E$21,1))+1)-INDEX($E$12:$E$21,MATCH(($A39+7),$E$12:$E$21,1)))),$F$12) * (($B$9 * (($A39+7)/100)) + (($B$10 * (($A39+7)/100)^2) * $B$12)))</f>
        <v/>
      </c>
      <c r="J39" s="12" t="str">
        <f>IF(($A39+8)&gt;$B$11, "", IFERROR((INDEX($F$12:$F$21,MATCH(($A39+8),$E$12:$E$21,1))+(($A39+8)-INDEX($E$12:$E$21,MATCH(($A39+8),$E$12:$E$21,1)))*(IFERROR(INDEX($F$12:$F$21,MATCH(($A39+8),$E$12:$E$21,1)+1),INDEX($F$12:$F$21,MATCH(($A39+8),$E$12:$E$21,1)))-INDEX($F$12:$F$21,MATCH(($A39+8),$E$12:$E$21,1)))/IF((IFERROR(INDEX($E$12:$E$21,MATCH(($A39+8),$E$12:$E$21,1)+1),INDEX($E$12:$E$21,MATCH(($A39+8),$E$12:$E$21,1))+1)-INDEX($E$12:$E$21,MATCH(($A39+8),$E$12:$E$21,1)))=0,1,IFERROR(INDEX($E$12:$E$21,MATCH(($A39+8),$E$12:$E$21,1)+1),INDEX($E$12:$E$21,MATCH(($A39+8),$E$12:$E$21,1))+1)-INDEX($E$12:$E$21,MATCH(($A39+8),$E$12:$E$21,1)))),$F$12) * (($B$9 * (($A39+8)/100)) + (($B$10 * (($A39+8)/100)^2) * $B$12)))</f>
        <v/>
      </c>
      <c r="K39" s="12" t="str">
        <f>IF(($A39+9)&gt;$B$11, "", IFERROR((INDEX($F$12:$F$21,MATCH(($A39+9),$E$12:$E$21,1))+(($A39+9)-INDEX($E$12:$E$21,MATCH(($A39+9),$E$12:$E$21,1)))*(IFERROR(INDEX($F$12:$F$21,MATCH(($A39+9),$E$12:$E$21,1)+1),INDEX($F$12:$F$21,MATCH(($A39+9),$E$12:$E$21,1)))-INDEX($F$12:$F$21,MATCH(($A39+9),$E$12:$E$21,1)))/IF((IFERROR(INDEX($E$12:$E$21,MATCH(($A39+9),$E$12:$E$21,1)+1),INDEX($E$12:$E$21,MATCH(($A39+9),$E$12:$E$21,1))+1)-INDEX($E$12:$E$21,MATCH(($A39+9),$E$12:$E$21,1)))=0,1,IFERROR(INDEX($E$12:$E$21,MATCH(($A39+9),$E$12:$E$21,1)+1),INDEX($E$12:$E$21,MATCH(($A39+9),$E$12:$E$21,1))+1)-INDEX($E$12:$E$21,MATCH(($A39+9),$E$12:$E$21,1)))),$F$12) * (($B$9 * (($A39+9)/100)) + (($B$10 * (($A39+9)/100)^2) * $B$12)))</f>
        <v/>
      </c>
    </row>
    <row r="40">
      <c r="A40" s="11">
        <v>40</v>
      </c>
      <c r="B40" s="12" t="str">
        <f>IF(($A40+0)&gt;$B$11, "", IFERROR((INDEX($F$12:$F$21,MATCH(($A40+0),$E$12:$E$21,1))+(($A40+0)-INDEX($E$12:$E$21,MATCH(($A40+0),$E$12:$E$21,1)))*(IFERROR(INDEX($F$12:$F$21,MATCH(($A40+0),$E$12:$E$21,1)+1),INDEX($F$12:$F$21,MATCH(($A40+0),$E$12:$E$21,1)))-INDEX($F$12:$F$21,MATCH(($A40+0),$E$12:$E$21,1)))/IF((IFERROR(INDEX($E$12:$E$21,MATCH(($A40+0),$E$12:$E$21,1)+1),INDEX($E$12:$E$21,MATCH(($A40+0),$E$12:$E$21,1))+1)-INDEX($E$12:$E$21,MATCH(($A40+0),$E$12:$E$21,1)))=0,1,IFERROR(INDEX($E$12:$E$21,MATCH(($A40+0),$E$12:$E$21,1)+1),INDEX($E$12:$E$21,MATCH(($A40+0),$E$12:$E$21,1))+1)-INDEX($E$12:$E$21,MATCH(($A40+0),$E$12:$E$21,1)))),$F$12) * (($B$9 * (($A40+0)/100)) + (($B$10 * (($A40+0)/100)^2) * $B$12)))</f>
        <v/>
      </c>
      <c r="C40" s="12" t="str">
        <f>IF(($A40+1)&gt;$B$11, "", IFERROR((INDEX($F$12:$F$21,MATCH(($A40+1),$E$12:$E$21,1))+(($A40+1)-INDEX($E$12:$E$21,MATCH(($A40+1),$E$12:$E$21,1)))*(IFERROR(INDEX($F$12:$F$21,MATCH(($A40+1),$E$12:$E$21,1)+1),INDEX($F$12:$F$21,MATCH(($A40+1),$E$12:$E$21,1)))-INDEX($F$12:$F$21,MATCH(($A40+1),$E$12:$E$21,1)))/IF((IFERROR(INDEX($E$12:$E$21,MATCH(($A40+1),$E$12:$E$21,1)+1),INDEX($E$12:$E$21,MATCH(($A40+1),$E$12:$E$21,1))+1)-INDEX($E$12:$E$21,MATCH(($A40+1),$E$12:$E$21,1)))=0,1,IFERROR(INDEX($E$12:$E$21,MATCH(($A40+1),$E$12:$E$21,1)+1),INDEX($E$12:$E$21,MATCH(($A40+1),$E$12:$E$21,1))+1)-INDEX($E$12:$E$21,MATCH(($A40+1),$E$12:$E$21,1)))),$F$12) * (($B$9 * (($A40+1)/100)) + (($B$10 * (($A40+1)/100)^2) * $B$12)))</f>
        <v/>
      </c>
      <c r="D40" s="12" t="str">
        <f>IF(($A40+2)&gt;$B$11, "", IFERROR((INDEX($F$12:$F$21,MATCH(($A40+2),$E$12:$E$21,1))+(($A40+2)-INDEX($E$12:$E$21,MATCH(($A40+2),$E$12:$E$21,1)))*(IFERROR(INDEX($F$12:$F$21,MATCH(($A40+2),$E$12:$E$21,1)+1),INDEX($F$12:$F$21,MATCH(($A40+2),$E$12:$E$21,1)))-INDEX($F$12:$F$21,MATCH(($A40+2),$E$12:$E$21,1)))/IF((IFERROR(INDEX($E$12:$E$21,MATCH(($A40+2),$E$12:$E$21,1)+1),INDEX($E$12:$E$21,MATCH(($A40+2),$E$12:$E$21,1))+1)-INDEX($E$12:$E$21,MATCH(($A40+2),$E$12:$E$21,1)))=0,1,IFERROR(INDEX($E$12:$E$21,MATCH(($A40+2),$E$12:$E$21,1)+1),INDEX($E$12:$E$21,MATCH(($A40+2),$E$12:$E$21,1))+1)-INDEX($E$12:$E$21,MATCH(($A40+2),$E$12:$E$21,1)))),$F$12) * (($B$9 * (($A40+2)/100)) + (($B$10 * (($A40+2)/100)^2) * $B$12)))</f>
        <v/>
      </c>
      <c r="E40" s="12" t="str">
        <f>IF(($A40+3)&gt;$B$11, "", IFERROR((INDEX($F$12:$F$21,MATCH(($A40+3),$E$12:$E$21,1))+(($A40+3)-INDEX($E$12:$E$21,MATCH(($A40+3),$E$12:$E$21,1)))*(IFERROR(INDEX($F$12:$F$21,MATCH(($A40+3),$E$12:$E$21,1)+1),INDEX($F$12:$F$21,MATCH(($A40+3),$E$12:$E$21,1)))-INDEX($F$12:$F$21,MATCH(($A40+3),$E$12:$E$21,1)))/IF((IFERROR(INDEX($E$12:$E$21,MATCH(($A40+3),$E$12:$E$21,1)+1),INDEX($E$12:$E$21,MATCH(($A40+3),$E$12:$E$21,1))+1)-INDEX($E$12:$E$21,MATCH(($A40+3),$E$12:$E$21,1)))=0,1,IFERROR(INDEX($E$12:$E$21,MATCH(($A40+3),$E$12:$E$21,1)+1),INDEX($E$12:$E$21,MATCH(($A40+3),$E$12:$E$21,1))+1)-INDEX($E$12:$E$21,MATCH(($A40+3),$E$12:$E$21,1)))),$F$12) * (($B$9 * (($A40+3)/100)) + (($B$10 * (($A40+3)/100)^2) * $B$12)))</f>
        <v/>
      </c>
      <c r="F40" s="12" t="str">
        <f>IF(($A40+4)&gt;$B$11, "", IFERROR((INDEX($F$12:$F$21,MATCH(($A40+4),$E$12:$E$21,1))+(($A40+4)-INDEX($E$12:$E$21,MATCH(($A40+4),$E$12:$E$21,1)))*(IFERROR(INDEX($F$12:$F$21,MATCH(($A40+4),$E$12:$E$21,1)+1),INDEX($F$12:$F$21,MATCH(($A40+4),$E$12:$E$21,1)))-INDEX($F$12:$F$21,MATCH(($A40+4),$E$12:$E$21,1)))/IF((IFERROR(INDEX($E$12:$E$21,MATCH(($A40+4),$E$12:$E$21,1)+1),INDEX($E$12:$E$21,MATCH(($A40+4),$E$12:$E$21,1))+1)-INDEX($E$12:$E$21,MATCH(($A40+4),$E$12:$E$21,1)))=0,1,IFERROR(INDEX($E$12:$E$21,MATCH(($A40+4),$E$12:$E$21,1)+1),INDEX($E$12:$E$21,MATCH(($A40+4),$E$12:$E$21,1))+1)-INDEX($E$12:$E$21,MATCH(($A40+4),$E$12:$E$21,1)))),$F$12) * (($B$9 * (($A40+4)/100)) + (($B$10 * (($A40+4)/100)^2) * $B$12)))</f>
        <v/>
      </c>
      <c r="G40" s="12" t="str">
        <f>IF(($A40+5)&gt;$B$11, "", IFERROR((INDEX($F$12:$F$21,MATCH(($A40+5),$E$12:$E$21,1))+(($A40+5)-INDEX($E$12:$E$21,MATCH(($A40+5),$E$12:$E$21,1)))*(IFERROR(INDEX($F$12:$F$21,MATCH(($A40+5),$E$12:$E$21,1)+1),INDEX($F$12:$F$21,MATCH(($A40+5),$E$12:$E$21,1)))-INDEX($F$12:$F$21,MATCH(($A40+5),$E$12:$E$21,1)))/IF((IFERROR(INDEX($E$12:$E$21,MATCH(($A40+5),$E$12:$E$21,1)+1),INDEX($E$12:$E$21,MATCH(($A40+5),$E$12:$E$21,1))+1)-INDEX($E$12:$E$21,MATCH(($A40+5),$E$12:$E$21,1)))=0,1,IFERROR(INDEX($E$12:$E$21,MATCH(($A40+5),$E$12:$E$21,1)+1),INDEX($E$12:$E$21,MATCH(($A40+5),$E$12:$E$21,1))+1)-INDEX($E$12:$E$21,MATCH(($A40+5),$E$12:$E$21,1)))),$F$12) * (($B$9 * (($A40+5)/100)) + (($B$10 * (($A40+5)/100)^2) * $B$12)))</f>
        <v/>
      </c>
      <c r="H40" s="12" t="str">
        <f>IF(($A40+6)&gt;$B$11, "", IFERROR((INDEX($F$12:$F$21,MATCH(($A40+6),$E$12:$E$21,1))+(($A40+6)-INDEX($E$12:$E$21,MATCH(($A40+6),$E$12:$E$21,1)))*(IFERROR(INDEX($F$12:$F$21,MATCH(($A40+6),$E$12:$E$21,1)+1),INDEX($F$12:$F$21,MATCH(($A40+6),$E$12:$E$21,1)))-INDEX($F$12:$F$21,MATCH(($A40+6),$E$12:$E$21,1)))/IF((IFERROR(INDEX($E$12:$E$21,MATCH(($A40+6),$E$12:$E$21,1)+1),INDEX($E$12:$E$21,MATCH(($A40+6),$E$12:$E$21,1))+1)-INDEX($E$12:$E$21,MATCH(($A40+6),$E$12:$E$21,1)))=0,1,IFERROR(INDEX($E$12:$E$21,MATCH(($A40+6),$E$12:$E$21,1)+1),INDEX($E$12:$E$21,MATCH(($A40+6),$E$12:$E$21,1))+1)-INDEX($E$12:$E$21,MATCH(($A40+6),$E$12:$E$21,1)))),$F$12) * (($B$9 * (($A40+6)/100)) + (($B$10 * (($A40+6)/100)^2) * $B$12)))</f>
        <v/>
      </c>
      <c r="I40" s="12" t="str">
        <f>IF(($A40+7)&gt;$B$11, "", IFERROR((INDEX($F$12:$F$21,MATCH(($A40+7),$E$12:$E$21,1))+(($A40+7)-INDEX($E$12:$E$21,MATCH(($A40+7),$E$12:$E$21,1)))*(IFERROR(INDEX($F$12:$F$21,MATCH(($A40+7),$E$12:$E$21,1)+1),INDEX($F$12:$F$21,MATCH(($A40+7),$E$12:$E$21,1)))-INDEX($F$12:$F$21,MATCH(($A40+7),$E$12:$E$21,1)))/IF((IFERROR(INDEX($E$12:$E$21,MATCH(($A40+7),$E$12:$E$21,1)+1),INDEX($E$12:$E$21,MATCH(($A40+7),$E$12:$E$21,1))+1)-INDEX($E$12:$E$21,MATCH(($A40+7),$E$12:$E$21,1)))=0,1,IFERROR(INDEX($E$12:$E$21,MATCH(($A40+7),$E$12:$E$21,1)+1),INDEX($E$12:$E$21,MATCH(($A40+7),$E$12:$E$21,1))+1)-INDEX($E$12:$E$21,MATCH(($A40+7),$E$12:$E$21,1)))),$F$12) * (($B$9 * (($A40+7)/100)) + (($B$10 * (($A40+7)/100)^2) * $B$12)))</f>
        <v/>
      </c>
      <c r="J40" s="12" t="str">
        <f>IF(($A40+8)&gt;$B$11, "", IFERROR((INDEX($F$12:$F$21,MATCH(($A40+8),$E$12:$E$21,1))+(($A40+8)-INDEX($E$12:$E$21,MATCH(($A40+8),$E$12:$E$21,1)))*(IFERROR(INDEX($F$12:$F$21,MATCH(($A40+8),$E$12:$E$21,1)+1),INDEX($F$12:$F$21,MATCH(($A40+8),$E$12:$E$21,1)))-INDEX($F$12:$F$21,MATCH(($A40+8),$E$12:$E$21,1)))/IF((IFERROR(INDEX($E$12:$E$21,MATCH(($A40+8),$E$12:$E$21,1)+1),INDEX($E$12:$E$21,MATCH(($A40+8),$E$12:$E$21,1))+1)-INDEX($E$12:$E$21,MATCH(($A40+8),$E$12:$E$21,1)))=0,1,IFERROR(INDEX($E$12:$E$21,MATCH(($A40+8),$E$12:$E$21,1)+1),INDEX($E$12:$E$21,MATCH(($A40+8),$E$12:$E$21,1))+1)-INDEX($E$12:$E$21,MATCH(($A40+8),$E$12:$E$21,1)))),$F$12) * (($B$9 * (($A40+8)/100)) + (($B$10 * (($A40+8)/100)^2) * $B$12)))</f>
        <v/>
      </c>
      <c r="K40" s="12" t="str">
        <f>IF(($A40+9)&gt;$B$11, "", IFERROR((INDEX($F$12:$F$21,MATCH(($A40+9),$E$12:$E$21,1))+(($A40+9)-INDEX($E$12:$E$21,MATCH(($A40+9),$E$12:$E$21,1)))*(IFERROR(INDEX($F$12:$F$21,MATCH(($A40+9),$E$12:$E$21,1)+1),INDEX($F$12:$F$21,MATCH(($A40+9),$E$12:$E$21,1)))-INDEX($F$12:$F$21,MATCH(($A40+9),$E$12:$E$21,1)))/IF((IFERROR(INDEX($E$12:$E$21,MATCH(($A40+9),$E$12:$E$21,1)+1),INDEX($E$12:$E$21,MATCH(($A40+9),$E$12:$E$21,1))+1)-INDEX($E$12:$E$21,MATCH(($A40+9),$E$12:$E$21,1)))=0,1,IFERROR(INDEX($E$12:$E$21,MATCH(($A40+9),$E$12:$E$21,1)+1),INDEX($E$12:$E$21,MATCH(($A40+9),$E$12:$E$21,1))+1)-INDEX($E$12:$E$21,MATCH(($A40+9),$E$12:$E$21,1)))),$F$12) * (($B$9 * (($A40+9)/100)) + (($B$10 * (($A40+9)/100)^2) * $B$12)))</f>
        <v/>
      </c>
    </row>
    <row r="41">
      <c r="A41" s="11">
        <v>50</v>
      </c>
      <c r="B41" s="12" t="str">
        <f>IF(($A41+0)&gt;$B$11, "", IFERROR((INDEX($F$12:$F$21,MATCH(($A41+0),$E$12:$E$21,1))+(($A41+0)-INDEX($E$12:$E$21,MATCH(($A41+0),$E$12:$E$21,1)))*(IFERROR(INDEX($F$12:$F$21,MATCH(($A41+0),$E$12:$E$21,1)+1),INDEX($F$12:$F$21,MATCH(($A41+0),$E$12:$E$21,1)))-INDEX($F$12:$F$21,MATCH(($A41+0),$E$12:$E$21,1)))/IF((IFERROR(INDEX($E$12:$E$21,MATCH(($A41+0),$E$12:$E$21,1)+1),INDEX($E$12:$E$21,MATCH(($A41+0),$E$12:$E$21,1))+1)-INDEX($E$12:$E$21,MATCH(($A41+0),$E$12:$E$21,1)))=0,1,IFERROR(INDEX($E$12:$E$21,MATCH(($A41+0),$E$12:$E$21,1)+1),INDEX($E$12:$E$21,MATCH(($A41+0),$E$12:$E$21,1))+1)-INDEX($E$12:$E$21,MATCH(($A41+0),$E$12:$E$21,1)))),$F$12) * (($B$9 * (($A41+0)/100)) + (($B$10 * (($A41+0)/100)^2) * $B$12)))</f>
        <v/>
      </c>
      <c r="C41" s="12" t="str">
        <f>IF(($A41+1)&gt;$B$11, "", IFERROR((INDEX($F$12:$F$21,MATCH(($A41+1),$E$12:$E$21,1))+(($A41+1)-INDEX($E$12:$E$21,MATCH(($A41+1),$E$12:$E$21,1)))*(IFERROR(INDEX($F$12:$F$21,MATCH(($A41+1),$E$12:$E$21,1)+1),INDEX($F$12:$F$21,MATCH(($A41+1),$E$12:$E$21,1)))-INDEX($F$12:$F$21,MATCH(($A41+1),$E$12:$E$21,1)))/IF((IFERROR(INDEX($E$12:$E$21,MATCH(($A41+1),$E$12:$E$21,1)+1),INDEX($E$12:$E$21,MATCH(($A41+1),$E$12:$E$21,1))+1)-INDEX($E$12:$E$21,MATCH(($A41+1),$E$12:$E$21,1)))=0,1,IFERROR(INDEX($E$12:$E$21,MATCH(($A41+1),$E$12:$E$21,1)+1),INDEX($E$12:$E$21,MATCH(($A41+1),$E$12:$E$21,1))+1)-INDEX($E$12:$E$21,MATCH(($A41+1),$E$12:$E$21,1)))),$F$12) * (($B$9 * (($A41+1)/100)) + (($B$10 * (($A41+1)/100)^2) * $B$12)))</f>
        <v/>
      </c>
      <c r="D41" s="12" t="str">
        <f>IF(($A41+2)&gt;$B$11, "", IFERROR((INDEX($F$12:$F$21,MATCH(($A41+2),$E$12:$E$21,1))+(($A41+2)-INDEX($E$12:$E$21,MATCH(($A41+2),$E$12:$E$21,1)))*(IFERROR(INDEX($F$12:$F$21,MATCH(($A41+2),$E$12:$E$21,1)+1),INDEX($F$12:$F$21,MATCH(($A41+2),$E$12:$E$21,1)))-INDEX($F$12:$F$21,MATCH(($A41+2),$E$12:$E$21,1)))/IF((IFERROR(INDEX($E$12:$E$21,MATCH(($A41+2),$E$12:$E$21,1)+1),INDEX($E$12:$E$21,MATCH(($A41+2),$E$12:$E$21,1))+1)-INDEX($E$12:$E$21,MATCH(($A41+2),$E$12:$E$21,1)))=0,1,IFERROR(INDEX($E$12:$E$21,MATCH(($A41+2),$E$12:$E$21,1)+1),INDEX($E$12:$E$21,MATCH(($A41+2),$E$12:$E$21,1))+1)-INDEX($E$12:$E$21,MATCH(($A41+2),$E$12:$E$21,1)))),$F$12) * (($B$9 * (($A41+2)/100)) + (($B$10 * (($A41+2)/100)^2) * $B$12)))</f>
        <v/>
      </c>
      <c r="E41" s="12" t="str">
        <f>IF(($A41+3)&gt;$B$11, "", IFERROR((INDEX($F$12:$F$21,MATCH(($A41+3),$E$12:$E$21,1))+(($A41+3)-INDEX($E$12:$E$21,MATCH(($A41+3),$E$12:$E$21,1)))*(IFERROR(INDEX($F$12:$F$21,MATCH(($A41+3),$E$12:$E$21,1)+1),INDEX($F$12:$F$21,MATCH(($A41+3),$E$12:$E$21,1)))-INDEX($F$12:$F$21,MATCH(($A41+3),$E$12:$E$21,1)))/IF((IFERROR(INDEX($E$12:$E$21,MATCH(($A41+3),$E$12:$E$21,1)+1),INDEX($E$12:$E$21,MATCH(($A41+3),$E$12:$E$21,1))+1)-INDEX($E$12:$E$21,MATCH(($A41+3),$E$12:$E$21,1)))=0,1,IFERROR(INDEX($E$12:$E$21,MATCH(($A41+3),$E$12:$E$21,1)+1),INDEX($E$12:$E$21,MATCH(($A41+3),$E$12:$E$21,1))+1)-INDEX($E$12:$E$21,MATCH(($A41+3),$E$12:$E$21,1)))),$F$12) * (($B$9 * (($A41+3)/100)) + (($B$10 * (($A41+3)/100)^2) * $B$12)))</f>
        <v/>
      </c>
      <c r="F41" s="12" t="str">
        <f>IF(($A41+4)&gt;$B$11, "", IFERROR((INDEX($F$12:$F$21,MATCH(($A41+4),$E$12:$E$21,1))+(($A41+4)-INDEX($E$12:$E$21,MATCH(($A41+4),$E$12:$E$21,1)))*(IFERROR(INDEX($F$12:$F$21,MATCH(($A41+4),$E$12:$E$21,1)+1),INDEX($F$12:$F$21,MATCH(($A41+4),$E$12:$E$21,1)))-INDEX($F$12:$F$21,MATCH(($A41+4),$E$12:$E$21,1)))/IF((IFERROR(INDEX($E$12:$E$21,MATCH(($A41+4),$E$12:$E$21,1)+1),INDEX($E$12:$E$21,MATCH(($A41+4),$E$12:$E$21,1))+1)-INDEX($E$12:$E$21,MATCH(($A41+4),$E$12:$E$21,1)))=0,1,IFERROR(INDEX($E$12:$E$21,MATCH(($A41+4),$E$12:$E$21,1)+1),INDEX($E$12:$E$21,MATCH(($A41+4),$E$12:$E$21,1))+1)-INDEX($E$12:$E$21,MATCH(($A41+4),$E$12:$E$21,1)))),$F$12) * (($B$9 * (($A41+4)/100)) + (($B$10 * (($A41+4)/100)^2) * $B$12)))</f>
        <v/>
      </c>
      <c r="G41" s="12" t="str">
        <f>IF(($A41+5)&gt;$B$11, "", IFERROR((INDEX($F$12:$F$21,MATCH(($A41+5),$E$12:$E$21,1))+(($A41+5)-INDEX($E$12:$E$21,MATCH(($A41+5),$E$12:$E$21,1)))*(IFERROR(INDEX($F$12:$F$21,MATCH(($A41+5),$E$12:$E$21,1)+1),INDEX($F$12:$F$21,MATCH(($A41+5),$E$12:$E$21,1)))-INDEX($F$12:$F$21,MATCH(($A41+5),$E$12:$E$21,1)))/IF((IFERROR(INDEX($E$12:$E$21,MATCH(($A41+5),$E$12:$E$21,1)+1),INDEX($E$12:$E$21,MATCH(($A41+5),$E$12:$E$21,1))+1)-INDEX($E$12:$E$21,MATCH(($A41+5),$E$12:$E$21,1)))=0,1,IFERROR(INDEX($E$12:$E$21,MATCH(($A41+5),$E$12:$E$21,1)+1),INDEX($E$12:$E$21,MATCH(($A41+5),$E$12:$E$21,1))+1)-INDEX($E$12:$E$21,MATCH(($A41+5),$E$12:$E$21,1)))),$F$12) * (($B$9 * (($A41+5)/100)) + (($B$10 * (($A41+5)/100)^2) * $B$12)))</f>
        <v/>
      </c>
      <c r="H41" s="12" t="str">
        <f>IF(($A41+6)&gt;$B$11, "", IFERROR((INDEX($F$12:$F$21,MATCH(($A41+6),$E$12:$E$21,1))+(($A41+6)-INDEX($E$12:$E$21,MATCH(($A41+6),$E$12:$E$21,1)))*(IFERROR(INDEX($F$12:$F$21,MATCH(($A41+6),$E$12:$E$21,1)+1),INDEX($F$12:$F$21,MATCH(($A41+6),$E$12:$E$21,1)))-INDEX($F$12:$F$21,MATCH(($A41+6),$E$12:$E$21,1)))/IF((IFERROR(INDEX($E$12:$E$21,MATCH(($A41+6),$E$12:$E$21,1)+1),INDEX($E$12:$E$21,MATCH(($A41+6),$E$12:$E$21,1))+1)-INDEX($E$12:$E$21,MATCH(($A41+6),$E$12:$E$21,1)))=0,1,IFERROR(INDEX($E$12:$E$21,MATCH(($A41+6),$E$12:$E$21,1)+1),INDEX($E$12:$E$21,MATCH(($A41+6),$E$12:$E$21,1))+1)-INDEX($E$12:$E$21,MATCH(($A41+6),$E$12:$E$21,1)))),$F$12) * (($B$9 * (($A41+6)/100)) + (($B$10 * (($A41+6)/100)^2) * $B$12)))</f>
        <v/>
      </c>
      <c r="I41" s="12" t="str">
        <f>IF(($A41+7)&gt;$B$11, "", IFERROR((INDEX($F$12:$F$21,MATCH(($A41+7),$E$12:$E$21,1))+(($A41+7)-INDEX($E$12:$E$21,MATCH(($A41+7),$E$12:$E$21,1)))*(IFERROR(INDEX($F$12:$F$21,MATCH(($A41+7),$E$12:$E$21,1)+1),INDEX($F$12:$F$21,MATCH(($A41+7),$E$12:$E$21,1)))-INDEX($F$12:$F$21,MATCH(($A41+7),$E$12:$E$21,1)))/IF((IFERROR(INDEX($E$12:$E$21,MATCH(($A41+7),$E$12:$E$21,1)+1),INDEX($E$12:$E$21,MATCH(($A41+7),$E$12:$E$21,1))+1)-INDEX($E$12:$E$21,MATCH(($A41+7),$E$12:$E$21,1)))=0,1,IFERROR(INDEX($E$12:$E$21,MATCH(($A41+7),$E$12:$E$21,1)+1),INDEX($E$12:$E$21,MATCH(($A41+7),$E$12:$E$21,1))+1)-INDEX($E$12:$E$21,MATCH(($A41+7),$E$12:$E$21,1)))),$F$12) * (($B$9 * (($A41+7)/100)) + (($B$10 * (($A41+7)/100)^2) * $B$12)))</f>
        <v/>
      </c>
      <c r="J41" s="12" t="str">
        <f>IF(($A41+8)&gt;$B$11, "", IFERROR((INDEX($F$12:$F$21,MATCH(($A41+8),$E$12:$E$21,1))+(($A41+8)-INDEX($E$12:$E$21,MATCH(($A41+8),$E$12:$E$21,1)))*(IFERROR(INDEX($F$12:$F$21,MATCH(($A41+8),$E$12:$E$21,1)+1),INDEX($F$12:$F$21,MATCH(($A41+8),$E$12:$E$21,1)))-INDEX($F$12:$F$21,MATCH(($A41+8),$E$12:$E$21,1)))/IF((IFERROR(INDEX($E$12:$E$21,MATCH(($A41+8),$E$12:$E$21,1)+1),INDEX($E$12:$E$21,MATCH(($A41+8),$E$12:$E$21,1))+1)-INDEX($E$12:$E$21,MATCH(($A41+8),$E$12:$E$21,1)))=0,1,IFERROR(INDEX($E$12:$E$21,MATCH(($A41+8),$E$12:$E$21,1)+1),INDEX($E$12:$E$21,MATCH(($A41+8),$E$12:$E$21,1))+1)-INDEX($E$12:$E$21,MATCH(($A41+8),$E$12:$E$21,1)))),$F$12) * (($B$9 * (($A41+8)/100)) + (($B$10 * (($A41+8)/100)^2) * $B$12)))</f>
        <v/>
      </c>
      <c r="K41" s="12" t="str">
        <f>IF(($A41+9)&gt;$B$11, "", IFERROR((INDEX($F$12:$F$21,MATCH(($A41+9),$E$12:$E$21,1))+(($A41+9)-INDEX($E$12:$E$21,MATCH(($A41+9),$E$12:$E$21,1)))*(IFERROR(INDEX($F$12:$F$21,MATCH(($A41+9),$E$12:$E$21,1)+1),INDEX($F$12:$F$21,MATCH(($A41+9),$E$12:$E$21,1)))-INDEX($F$12:$F$21,MATCH(($A41+9),$E$12:$E$21,1)))/IF((IFERROR(INDEX($E$12:$E$21,MATCH(($A41+9),$E$12:$E$21,1)+1),INDEX($E$12:$E$21,MATCH(($A41+9),$E$12:$E$21,1))+1)-INDEX($E$12:$E$21,MATCH(($A41+9),$E$12:$E$21,1)))=0,1,IFERROR(INDEX($E$12:$E$21,MATCH(($A41+9),$E$12:$E$21,1)+1),INDEX($E$12:$E$21,MATCH(($A41+9),$E$12:$E$21,1))+1)-INDEX($E$12:$E$21,MATCH(($A41+9),$E$12:$E$21,1)))),$F$12) * (($B$9 * (($A41+9)/100)) + (($B$10 * (($A41+9)/100)^2) * $B$12)))</f>
        <v/>
      </c>
    </row>
    <row r="42">
      <c r="A42" s="11">
        <v>60</v>
      </c>
      <c r="B42" s="12" t="str">
        <f>IF(($A42+0)&gt;$B$11, "", IFERROR((INDEX($F$12:$F$21,MATCH(($A42+0),$E$12:$E$21,1))+(($A42+0)-INDEX($E$12:$E$21,MATCH(($A42+0),$E$12:$E$21,1)))*(IFERROR(INDEX($F$12:$F$21,MATCH(($A42+0),$E$12:$E$21,1)+1),INDEX($F$12:$F$21,MATCH(($A42+0),$E$12:$E$21,1)))-INDEX($F$12:$F$21,MATCH(($A42+0),$E$12:$E$21,1)))/IF((IFERROR(INDEX($E$12:$E$21,MATCH(($A42+0),$E$12:$E$21,1)+1),INDEX($E$12:$E$21,MATCH(($A42+0),$E$12:$E$21,1))+1)-INDEX($E$12:$E$21,MATCH(($A42+0),$E$12:$E$21,1)))=0,1,IFERROR(INDEX($E$12:$E$21,MATCH(($A42+0),$E$12:$E$21,1)+1),INDEX($E$12:$E$21,MATCH(($A42+0),$E$12:$E$21,1))+1)-INDEX($E$12:$E$21,MATCH(($A42+0),$E$12:$E$21,1)))),$F$12) * (($B$9 * (($A42+0)/100)) + (($B$10 * (($A42+0)/100)^2) * $B$12)))</f>
        <v/>
      </c>
      <c r="C42" s="12" t="str">
        <f>IF(($A42+1)&gt;$B$11, "", IFERROR((INDEX($F$12:$F$21,MATCH(($A42+1),$E$12:$E$21,1))+(($A42+1)-INDEX($E$12:$E$21,MATCH(($A42+1),$E$12:$E$21,1)))*(IFERROR(INDEX($F$12:$F$21,MATCH(($A42+1),$E$12:$E$21,1)+1),INDEX($F$12:$F$21,MATCH(($A42+1),$E$12:$E$21,1)))-INDEX($F$12:$F$21,MATCH(($A42+1),$E$12:$E$21,1)))/IF((IFERROR(INDEX($E$12:$E$21,MATCH(($A42+1),$E$12:$E$21,1)+1),INDEX($E$12:$E$21,MATCH(($A42+1),$E$12:$E$21,1))+1)-INDEX($E$12:$E$21,MATCH(($A42+1),$E$12:$E$21,1)))=0,1,IFERROR(INDEX($E$12:$E$21,MATCH(($A42+1),$E$12:$E$21,1)+1),INDEX($E$12:$E$21,MATCH(($A42+1),$E$12:$E$21,1))+1)-INDEX($E$12:$E$21,MATCH(($A42+1),$E$12:$E$21,1)))),$F$12) * (($B$9 * (($A42+1)/100)) + (($B$10 * (($A42+1)/100)^2) * $B$12)))</f>
        <v/>
      </c>
      <c r="D42" s="12" t="str">
        <f>IF(($A42+2)&gt;$B$11, "", IFERROR((INDEX($F$12:$F$21,MATCH(($A42+2),$E$12:$E$21,1))+(($A42+2)-INDEX($E$12:$E$21,MATCH(($A42+2),$E$12:$E$21,1)))*(IFERROR(INDEX($F$12:$F$21,MATCH(($A42+2),$E$12:$E$21,1)+1),INDEX($F$12:$F$21,MATCH(($A42+2),$E$12:$E$21,1)))-INDEX($F$12:$F$21,MATCH(($A42+2),$E$12:$E$21,1)))/IF((IFERROR(INDEX($E$12:$E$21,MATCH(($A42+2),$E$12:$E$21,1)+1),INDEX($E$12:$E$21,MATCH(($A42+2),$E$12:$E$21,1))+1)-INDEX($E$12:$E$21,MATCH(($A42+2),$E$12:$E$21,1)))=0,1,IFERROR(INDEX($E$12:$E$21,MATCH(($A42+2),$E$12:$E$21,1)+1),INDEX($E$12:$E$21,MATCH(($A42+2),$E$12:$E$21,1))+1)-INDEX($E$12:$E$21,MATCH(($A42+2),$E$12:$E$21,1)))),$F$12) * (($B$9 * (($A42+2)/100)) + (($B$10 * (($A42+2)/100)^2) * $B$12)))</f>
        <v/>
      </c>
      <c r="E42" s="12" t="str">
        <f>IF(($A42+3)&gt;$B$11, "", IFERROR((INDEX($F$12:$F$21,MATCH(($A42+3),$E$12:$E$21,1))+(($A42+3)-INDEX($E$12:$E$21,MATCH(($A42+3),$E$12:$E$21,1)))*(IFERROR(INDEX($F$12:$F$21,MATCH(($A42+3),$E$12:$E$21,1)+1),INDEX($F$12:$F$21,MATCH(($A42+3),$E$12:$E$21,1)))-INDEX($F$12:$F$21,MATCH(($A42+3),$E$12:$E$21,1)))/IF((IFERROR(INDEX($E$12:$E$21,MATCH(($A42+3),$E$12:$E$21,1)+1),INDEX($E$12:$E$21,MATCH(($A42+3),$E$12:$E$21,1))+1)-INDEX($E$12:$E$21,MATCH(($A42+3),$E$12:$E$21,1)))=0,1,IFERROR(INDEX($E$12:$E$21,MATCH(($A42+3),$E$12:$E$21,1)+1),INDEX($E$12:$E$21,MATCH(($A42+3),$E$12:$E$21,1))+1)-INDEX($E$12:$E$21,MATCH(($A42+3),$E$12:$E$21,1)))),$F$12) * (($B$9 * (($A42+3)/100)) + (($B$10 * (($A42+3)/100)^2) * $B$12)))</f>
        <v/>
      </c>
      <c r="F42" s="12" t="str">
        <f>IF(($A42+4)&gt;$B$11, "", IFERROR((INDEX($F$12:$F$21,MATCH(($A42+4),$E$12:$E$21,1))+(($A42+4)-INDEX($E$12:$E$21,MATCH(($A42+4),$E$12:$E$21,1)))*(IFERROR(INDEX($F$12:$F$21,MATCH(($A42+4),$E$12:$E$21,1)+1),INDEX($F$12:$F$21,MATCH(($A42+4),$E$12:$E$21,1)))-INDEX($F$12:$F$21,MATCH(($A42+4),$E$12:$E$21,1)))/IF((IFERROR(INDEX($E$12:$E$21,MATCH(($A42+4),$E$12:$E$21,1)+1),INDEX($E$12:$E$21,MATCH(($A42+4),$E$12:$E$21,1))+1)-INDEX($E$12:$E$21,MATCH(($A42+4),$E$12:$E$21,1)))=0,1,IFERROR(INDEX($E$12:$E$21,MATCH(($A42+4),$E$12:$E$21,1)+1),INDEX($E$12:$E$21,MATCH(($A42+4),$E$12:$E$21,1))+1)-INDEX($E$12:$E$21,MATCH(($A42+4),$E$12:$E$21,1)))),$F$12) * (($B$9 * (($A42+4)/100)) + (($B$10 * (($A42+4)/100)^2) * $B$12)))</f>
        <v/>
      </c>
      <c r="G42" s="12" t="str">
        <f>IF(($A42+5)&gt;$B$11, "", IFERROR((INDEX($F$12:$F$21,MATCH(($A42+5),$E$12:$E$21,1))+(($A42+5)-INDEX($E$12:$E$21,MATCH(($A42+5),$E$12:$E$21,1)))*(IFERROR(INDEX($F$12:$F$21,MATCH(($A42+5),$E$12:$E$21,1)+1),INDEX($F$12:$F$21,MATCH(($A42+5),$E$12:$E$21,1)))-INDEX($F$12:$F$21,MATCH(($A42+5),$E$12:$E$21,1)))/IF((IFERROR(INDEX($E$12:$E$21,MATCH(($A42+5),$E$12:$E$21,1)+1),INDEX($E$12:$E$21,MATCH(($A42+5),$E$12:$E$21,1))+1)-INDEX($E$12:$E$21,MATCH(($A42+5),$E$12:$E$21,1)))=0,1,IFERROR(INDEX($E$12:$E$21,MATCH(($A42+5),$E$12:$E$21,1)+1),INDEX($E$12:$E$21,MATCH(($A42+5),$E$12:$E$21,1))+1)-INDEX($E$12:$E$21,MATCH(($A42+5),$E$12:$E$21,1)))),$F$12) * (($B$9 * (($A42+5)/100)) + (($B$10 * (($A42+5)/100)^2) * $B$12)))</f>
        <v/>
      </c>
      <c r="H42" s="12" t="str">
        <f>IF(($A42+6)&gt;$B$11, "", IFERROR((INDEX($F$12:$F$21,MATCH(($A42+6),$E$12:$E$21,1))+(($A42+6)-INDEX($E$12:$E$21,MATCH(($A42+6),$E$12:$E$21,1)))*(IFERROR(INDEX($F$12:$F$21,MATCH(($A42+6),$E$12:$E$21,1)+1),INDEX($F$12:$F$21,MATCH(($A42+6),$E$12:$E$21,1)))-INDEX($F$12:$F$21,MATCH(($A42+6),$E$12:$E$21,1)))/IF((IFERROR(INDEX($E$12:$E$21,MATCH(($A42+6),$E$12:$E$21,1)+1),INDEX($E$12:$E$21,MATCH(($A42+6),$E$12:$E$21,1))+1)-INDEX($E$12:$E$21,MATCH(($A42+6),$E$12:$E$21,1)))=0,1,IFERROR(INDEX($E$12:$E$21,MATCH(($A42+6),$E$12:$E$21,1)+1),INDEX($E$12:$E$21,MATCH(($A42+6),$E$12:$E$21,1))+1)-INDEX($E$12:$E$21,MATCH(($A42+6),$E$12:$E$21,1)))),$F$12) * (($B$9 * (($A42+6)/100)) + (($B$10 * (($A42+6)/100)^2) * $B$12)))</f>
        <v/>
      </c>
      <c r="I42" s="12" t="str">
        <f>IF(($A42+7)&gt;$B$11, "", IFERROR((INDEX($F$12:$F$21,MATCH(($A42+7),$E$12:$E$21,1))+(($A42+7)-INDEX($E$12:$E$21,MATCH(($A42+7),$E$12:$E$21,1)))*(IFERROR(INDEX($F$12:$F$21,MATCH(($A42+7),$E$12:$E$21,1)+1),INDEX($F$12:$F$21,MATCH(($A42+7),$E$12:$E$21,1)))-INDEX($F$12:$F$21,MATCH(($A42+7),$E$12:$E$21,1)))/IF((IFERROR(INDEX($E$12:$E$21,MATCH(($A42+7),$E$12:$E$21,1)+1),INDEX($E$12:$E$21,MATCH(($A42+7),$E$12:$E$21,1))+1)-INDEX($E$12:$E$21,MATCH(($A42+7),$E$12:$E$21,1)))=0,1,IFERROR(INDEX($E$12:$E$21,MATCH(($A42+7),$E$12:$E$21,1)+1),INDEX($E$12:$E$21,MATCH(($A42+7),$E$12:$E$21,1))+1)-INDEX($E$12:$E$21,MATCH(($A42+7),$E$12:$E$21,1)))),$F$12) * (($B$9 * (($A42+7)/100)) + (($B$10 * (($A42+7)/100)^2) * $B$12)))</f>
        <v/>
      </c>
      <c r="J42" s="12" t="str">
        <f>IF(($A42+8)&gt;$B$11, "", IFERROR((INDEX($F$12:$F$21,MATCH(($A42+8),$E$12:$E$21,1))+(($A42+8)-INDEX($E$12:$E$21,MATCH(($A42+8),$E$12:$E$21,1)))*(IFERROR(INDEX($F$12:$F$21,MATCH(($A42+8),$E$12:$E$21,1)+1),INDEX($F$12:$F$21,MATCH(($A42+8),$E$12:$E$21,1)))-INDEX($F$12:$F$21,MATCH(($A42+8),$E$12:$E$21,1)))/IF((IFERROR(INDEX($E$12:$E$21,MATCH(($A42+8),$E$12:$E$21,1)+1),INDEX($E$12:$E$21,MATCH(($A42+8),$E$12:$E$21,1))+1)-INDEX($E$12:$E$21,MATCH(($A42+8),$E$12:$E$21,1)))=0,1,IFERROR(INDEX($E$12:$E$21,MATCH(($A42+8),$E$12:$E$21,1)+1),INDEX($E$12:$E$21,MATCH(($A42+8),$E$12:$E$21,1))+1)-INDEX($E$12:$E$21,MATCH(($A42+8),$E$12:$E$21,1)))),$F$12) * (($B$9 * (($A42+8)/100)) + (($B$10 * (($A42+8)/100)^2) * $B$12)))</f>
        <v/>
      </c>
      <c r="K42" s="12" t="str">
        <f>IF(($A42+9)&gt;$B$11, "", IFERROR((INDEX($F$12:$F$21,MATCH(($A42+9),$E$12:$E$21,1))+(($A42+9)-INDEX($E$12:$E$21,MATCH(($A42+9),$E$12:$E$21,1)))*(IFERROR(INDEX($F$12:$F$21,MATCH(($A42+9),$E$12:$E$21,1)+1),INDEX($F$12:$F$21,MATCH(($A42+9),$E$12:$E$21,1)))-INDEX($F$12:$F$21,MATCH(($A42+9),$E$12:$E$21,1)))/IF((IFERROR(INDEX($E$12:$E$21,MATCH(($A42+9),$E$12:$E$21,1)+1),INDEX($E$12:$E$21,MATCH(($A42+9),$E$12:$E$21,1))+1)-INDEX($E$12:$E$21,MATCH(($A42+9),$E$12:$E$21,1)))=0,1,IFERROR(INDEX($E$12:$E$21,MATCH(($A42+9),$E$12:$E$21,1)+1),INDEX($E$12:$E$21,MATCH(($A42+9),$E$12:$E$21,1))+1)-INDEX($E$12:$E$21,MATCH(($A42+9),$E$12:$E$21,1)))),$F$12) * (($B$9 * (($A42+9)/100)) + (($B$10 * (($A42+9)/100)^2) * $B$12)))</f>
        <v/>
      </c>
    </row>
    <row r="43">
      <c r="A43" s="11">
        <v>70</v>
      </c>
      <c r="B43" s="12" t="str">
        <f>IF(($A43+0)&gt;$B$11, "", IFERROR((INDEX($F$12:$F$21,MATCH(($A43+0),$E$12:$E$21,1))+(($A43+0)-INDEX($E$12:$E$21,MATCH(($A43+0),$E$12:$E$21,1)))*(IFERROR(INDEX($F$12:$F$21,MATCH(($A43+0),$E$12:$E$21,1)+1),INDEX($F$12:$F$21,MATCH(($A43+0),$E$12:$E$21,1)))-INDEX($F$12:$F$21,MATCH(($A43+0),$E$12:$E$21,1)))/IF((IFERROR(INDEX($E$12:$E$21,MATCH(($A43+0),$E$12:$E$21,1)+1),INDEX($E$12:$E$21,MATCH(($A43+0),$E$12:$E$21,1))+1)-INDEX($E$12:$E$21,MATCH(($A43+0),$E$12:$E$21,1)))=0,1,IFERROR(INDEX($E$12:$E$21,MATCH(($A43+0),$E$12:$E$21,1)+1),INDEX($E$12:$E$21,MATCH(($A43+0),$E$12:$E$21,1))+1)-INDEX($E$12:$E$21,MATCH(($A43+0),$E$12:$E$21,1)))),$F$12) * (($B$9 * (($A43+0)/100)) + (($B$10 * (($A43+0)/100)^2) * $B$12)))</f>
        <v/>
      </c>
      <c r="C43" s="12" t="str">
        <f>IF(($A43+1)&gt;$B$11, "", IFERROR((INDEX($F$12:$F$21,MATCH(($A43+1),$E$12:$E$21,1))+(($A43+1)-INDEX($E$12:$E$21,MATCH(($A43+1),$E$12:$E$21,1)))*(IFERROR(INDEX($F$12:$F$21,MATCH(($A43+1),$E$12:$E$21,1)+1),INDEX($F$12:$F$21,MATCH(($A43+1),$E$12:$E$21,1)))-INDEX($F$12:$F$21,MATCH(($A43+1),$E$12:$E$21,1)))/IF((IFERROR(INDEX($E$12:$E$21,MATCH(($A43+1),$E$12:$E$21,1)+1),INDEX($E$12:$E$21,MATCH(($A43+1),$E$12:$E$21,1))+1)-INDEX($E$12:$E$21,MATCH(($A43+1),$E$12:$E$21,1)))=0,1,IFERROR(INDEX($E$12:$E$21,MATCH(($A43+1),$E$12:$E$21,1)+1),INDEX($E$12:$E$21,MATCH(($A43+1),$E$12:$E$21,1))+1)-INDEX($E$12:$E$21,MATCH(($A43+1),$E$12:$E$21,1)))),$F$12) * (($B$9 * (($A43+1)/100)) + (($B$10 * (($A43+1)/100)^2) * $B$12)))</f>
        <v/>
      </c>
      <c r="D43" s="12" t="str">
        <f>IF(($A43+2)&gt;$B$11, "", IFERROR((INDEX($F$12:$F$21,MATCH(($A43+2),$E$12:$E$21,1))+(($A43+2)-INDEX($E$12:$E$21,MATCH(($A43+2),$E$12:$E$21,1)))*(IFERROR(INDEX($F$12:$F$21,MATCH(($A43+2),$E$12:$E$21,1)+1),INDEX($F$12:$F$21,MATCH(($A43+2),$E$12:$E$21,1)))-INDEX($F$12:$F$21,MATCH(($A43+2),$E$12:$E$21,1)))/IF((IFERROR(INDEX($E$12:$E$21,MATCH(($A43+2),$E$12:$E$21,1)+1),INDEX($E$12:$E$21,MATCH(($A43+2),$E$12:$E$21,1))+1)-INDEX($E$12:$E$21,MATCH(($A43+2),$E$12:$E$21,1)))=0,1,IFERROR(INDEX($E$12:$E$21,MATCH(($A43+2),$E$12:$E$21,1)+1),INDEX($E$12:$E$21,MATCH(($A43+2),$E$12:$E$21,1))+1)-INDEX($E$12:$E$21,MATCH(($A43+2),$E$12:$E$21,1)))),$F$12) * (($B$9 * (($A43+2)/100)) + (($B$10 * (($A43+2)/100)^2) * $B$12)))</f>
        <v/>
      </c>
      <c r="E43" s="12" t="str">
        <f>IF(($A43+3)&gt;$B$11, "", IFERROR((INDEX($F$12:$F$21,MATCH(($A43+3),$E$12:$E$21,1))+(($A43+3)-INDEX($E$12:$E$21,MATCH(($A43+3),$E$12:$E$21,1)))*(IFERROR(INDEX($F$12:$F$21,MATCH(($A43+3),$E$12:$E$21,1)+1),INDEX($F$12:$F$21,MATCH(($A43+3),$E$12:$E$21,1)))-INDEX($F$12:$F$21,MATCH(($A43+3),$E$12:$E$21,1)))/IF((IFERROR(INDEX($E$12:$E$21,MATCH(($A43+3),$E$12:$E$21,1)+1),INDEX($E$12:$E$21,MATCH(($A43+3),$E$12:$E$21,1))+1)-INDEX($E$12:$E$21,MATCH(($A43+3),$E$12:$E$21,1)))=0,1,IFERROR(INDEX($E$12:$E$21,MATCH(($A43+3),$E$12:$E$21,1)+1),INDEX($E$12:$E$21,MATCH(($A43+3),$E$12:$E$21,1))+1)-INDEX($E$12:$E$21,MATCH(($A43+3),$E$12:$E$21,1)))),$F$12) * (($B$9 * (($A43+3)/100)) + (($B$10 * (($A43+3)/100)^2) * $B$12)))</f>
        <v/>
      </c>
      <c r="F43" s="12" t="str">
        <f>IF(($A43+4)&gt;$B$11, "", IFERROR((INDEX($F$12:$F$21,MATCH(($A43+4),$E$12:$E$21,1))+(($A43+4)-INDEX($E$12:$E$21,MATCH(($A43+4),$E$12:$E$21,1)))*(IFERROR(INDEX($F$12:$F$21,MATCH(($A43+4),$E$12:$E$21,1)+1),INDEX($F$12:$F$21,MATCH(($A43+4),$E$12:$E$21,1)))-INDEX($F$12:$F$21,MATCH(($A43+4),$E$12:$E$21,1)))/IF((IFERROR(INDEX($E$12:$E$21,MATCH(($A43+4),$E$12:$E$21,1)+1),INDEX($E$12:$E$21,MATCH(($A43+4),$E$12:$E$21,1))+1)-INDEX($E$12:$E$21,MATCH(($A43+4),$E$12:$E$21,1)))=0,1,IFERROR(INDEX($E$12:$E$21,MATCH(($A43+4),$E$12:$E$21,1)+1),INDEX($E$12:$E$21,MATCH(($A43+4),$E$12:$E$21,1))+1)-INDEX($E$12:$E$21,MATCH(($A43+4),$E$12:$E$21,1)))),$F$12) * (($B$9 * (($A43+4)/100)) + (($B$10 * (($A43+4)/100)^2) * $B$12)))</f>
        <v/>
      </c>
      <c r="G43" s="12" t="str">
        <f>IF(($A43+5)&gt;$B$11, "", IFERROR((INDEX($F$12:$F$21,MATCH(($A43+5),$E$12:$E$21,1))+(($A43+5)-INDEX($E$12:$E$21,MATCH(($A43+5),$E$12:$E$21,1)))*(IFERROR(INDEX($F$12:$F$21,MATCH(($A43+5),$E$12:$E$21,1)+1),INDEX($F$12:$F$21,MATCH(($A43+5),$E$12:$E$21,1)))-INDEX($F$12:$F$21,MATCH(($A43+5),$E$12:$E$21,1)))/IF((IFERROR(INDEX($E$12:$E$21,MATCH(($A43+5),$E$12:$E$21,1)+1),INDEX($E$12:$E$21,MATCH(($A43+5),$E$12:$E$21,1))+1)-INDEX($E$12:$E$21,MATCH(($A43+5),$E$12:$E$21,1)))=0,1,IFERROR(INDEX($E$12:$E$21,MATCH(($A43+5),$E$12:$E$21,1)+1),INDEX($E$12:$E$21,MATCH(($A43+5),$E$12:$E$21,1))+1)-INDEX($E$12:$E$21,MATCH(($A43+5),$E$12:$E$21,1)))),$F$12) * (($B$9 * (($A43+5)/100)) + (($B$10 * (($A43+5)/100)^2) * $B$12)))</f>
        <v/>
      </c>
      <c r="H43" s="12" t="str">
        <f>IF(($A43+6)&gt;$B$11, "", IFERROR((INDEX($F$12:$F$21,MATCH(($A43+6),$E$12:$E$21,1))+(($A43+6)-INDEX($E$12:$E$21,MATCH(($A43+6),$E$12:$E$21,1)))*(IFERROR(INDEX($F$12:$F$21,MATCH(($A43+6),$E$12:$E$21,1)+1),INDEX($F$12:$F$21,MATCH(($A43+6),$E$12:$E$21,1)))-INDEX($F$12:$F$21,MATCH(($A43+6),$E$12:$E$21,1)))/IF((IFERROR(INDEX($E$12:$E$21,MATCH(($A43+6),$E$12:$E$21,1)+1),INDEX($E$12:$E$21,MATCH(($A43+6),$E$12:$E$21,1))+1)-INDEX($E$12:$E$21,MATCH(($A43+6),$E$12:$E$21,1)))=0,1,IFERROR(INDEX($E$12:$E$21,MATCH(($A43+6),$E$12:$E$21,1)+1),INDEX($E$12:$E$21,MATCH(($A43+6),$E$12:$E$21,1))+1)-INDEX($E$12:$E$21,MATCH(($A43+6),$E$12:$E$21,1)))),$F$12) * (($B$9 * (($A43+6)/100)) + (($B$10 * (($A43+6)/100)^2) * $B$12)))</f>
        <v/>
      </c>
      <c r="I43" s="12" t="str">
        <f>IF(($A43+7)&gt;$B$11, "", IFERROR((INDEX($F$12:$F$21,MATCH(($A43+7),$E$12:$E$21,1))+(($A43+7)-INDEX($E$12:$E$21,MATCH(($A43+7),$E$12:$E$21,1)))*(IFERROR(INDEX($F$12:$F$21,MATCH(($A43+7),$E$12:$E$21,1)+1),INDEX($F$12:$F$21,MATCH(($A43+7),$E$12:$E$21,1)))-INDEX($F$12:$F$21,MATCH(($A43+7),$E$12:$E$21,1)))/IF((IFERROR(INDEX($E$12:$E$21,MATCH(($A43+7),$E$12:$E$21,1)+1),INDEX($E$12:$E$21,MATCH(($A43+7),$E$12:$E$21,1))+1)-INDEX($E$12:$E$21,MATCH(($A43+7),$E$12:$E$21,1)))=0,1,IFERROR(INDEX($E$12:$E$21,MATCH(($A43+7),$E$12:$E$21,1)+1),INDEX($E$12:$E$21,MATCH(($A43+7),$E$12:$E$21,1))+1)-INDEX($E$12:$E$21,MATCH(($A43+7),$E$12:$E$21,1)))),$F$12) * (($B$9 * (($A43+7)/100)) + (($B$10 * (($A43+7)/100)^2) * $B$12)))</f>
        <v/>
      </c>
      <c r="J43" s="12" t="str">
        <f>IF(($A43+8)&gt;$B$11, "", IFERROR((INDEX($F$12:$F$21,MATCH(($A43+8),$E$12:$E$21,1))+(($A43+8)-INDEX($E$12:$E$21,MATCH(($A43+8),$E$12:$E$21,1)))*(IFERROR(INDEX($F$12:$F$21,MATCH(($A43+8),$E$12:$E$21,1)+1),INDEX($F$12:$F$21,MATCH(($A43+8),$E$12:$E$21,1)))-INDEX($F$12:$F$21,MATCH(($A43+8),$E$12:$E$21,1)))/IF((IFERROR(INDEX($E$12:$E$21,MATCH(($A43+8),$E$12:$E$21,1)+1),INDEX($E$12:$E$21,MATCH(($A43+8),$E$12:$E$21,1))+1)-INDEX($E$12:$E$21,MATCH(($A43+8),$E$12:$E$21,1)))=0,1,IFERROR(INDEX($E$12:$E$21,MATCH(($A43+8),$E$12:$E$21,1)+1),INDEX($E$12:$E$21,MATCH(($A43+8),$E$12:$E$21,1))+1)-INDEX($E$12:$E$21,MATCH(($A43+8),$E$12:$E$21,1)))),$F$12) * (($B$9 * (($A43+8)/100)) + (($B$10 * (($A43+8)/100)^2) * $B$12)))</f>
        <v/>
      </c>
      <c r="K43" s="12" t="str">
        <f>IF(($A43+9)&gt;$B$11, "", IFERROR((INDEX($F$12:$F$21,MATCH(($A43+9),$E$12:$E$21,1))+(($A43+9)-INDEX($E$12:$E$21,MATCH(($A43+9),$E$12:$E$21,1)))*(IFERROR(INDEX($F$12:$F$21,MATCH(($A43+9),$E$12:$E$21,1)+1),INDEX($F$12:$F$21,MATCH(($A43+9),$E$12:$E$21,1)))-INDEX($F$12:$F$21,MATCH(($A43+9),$E$12:$E$21,1)))/IF((IFERROR(INDEX($E$12:$E$21,MATCH(($A43+9),$E$12:$E$21,1)+1),INDEX($E$12:$E$21,MATCH(($A43+9),$E$12:$E$21,1))+1)-INDEX($E$12:$E$21,MATCH(($A43+9),$E$12:$E$21,1)))=0,1,IFERROR(INDEX($E$12:$E$21,MATCH(($A43+9),$E$12:$E$21,1)+1),INDEX($E$12:$E$21,MATCH(($A43+9),$E$12:$E$21,1))+1)-INDEX($E$12:$E$21,MATCH(($A43+9),$E$12:$E$21,1)))),$F$12) * (($B$9 * (($A43+9)/100)) + (($B$10 * (($A43+9)/100)^2) * $B$12)))</f>
        <v/>
      </c>
    </row>
    <row r="44">
      <c r="A44" s="11">
        <v>80</v>
      </c>
      <c r="B44" s="12" t="str">
        <f>IF(($A44+0)&gt;$B$11, "", IFERROR((INDEX($F$12:$F$21,MATCH(($A44+0),$E$12:$E$21,1))+(($A44+0)-INDEX($E$12:$E$21,MATCH(($A44+0),$E$12:$E$21,1)))*(IFERROR(INDEX($F$12:$F$21,MATCH(($A44+0),$E$12:$E$21,1)+1),INDEX($F$12:$F$21,MATCH(($A44+0),$E$12:$E$21,1)))-INDEX($F$12:$F$21,MATCH(($A44+0),$E$12:$E$21,1)))/IF((IFERROR(INDEX($E$12:$E$21,MATCH(($A44+0),$E$12:$E$21,1)+1),INDEX($E$12:$E$21,MATCH(($A44+0),$E$12:$E$21,1))+1)-INDEX($E$12:$E$21,MATCH(($A44+0),$E$12:$E$21,1)))=0,1,IFERROR(INDEX($E$12:$E$21,MATCH(($A44+0),$E$12:$E$21,1)+1),INDEX($E$12:$E$21,MATCH(($A44+0),$E$12:$E$21,1))+1)-INDEX($E$12:$E$21,MATCH(($A44+0),$E$12:$E$21,1)))),$F$12) * (($B$9 * (($A44+0)/100)) + (($B$10 * (($A44+0)/100)^2) * $B$12)))</f>
        <v/>
      </c>
      <c r="C44" s="12" t="str">
        <f>IF(($A44+1)&gt;$B$11, "", IFERROR((INDEX($F$12:$F$21,MATCH(($A44+1),$E$12:$E$21,1))+(($A44+1)-INDEX($E$12:$E$21,MATCH(($A44+1),$E$12:$E$21,1)))*(IFERROR(INDEX($F$12:$F$21,MATCH(($A44+1),$E$12:$E$21,1)+1),INDEX($F$12:$F$21,MATCH(($A44+1),$E$12:$E$21,1)))-INDEX($F$12:$F$21,MATCH(($A44+1),$E$12:$E$21,1)))/IF((IFERROR(INDEX($E$12:$E$21,MATCH(($A44+1),$E$12:$E$21,1)+1),INDEX($E$12:$E$21,MATCH(($A44+1),$E$12:$E$21,1))+1)-INDEX($E$12:$E$21,MATCH(($A44+1),$E$12:$E$21,1)))=0,1,IFERROR(INDEX($E$12:$E$21,MATCH(($A44+1),$E$12:$E$21,1)+1),INDEX($E$12:$E$21,MATCH(($A44+1),$E$12:$E$21,1))+1)-INDEX($E$12:$E$21,MATCH(($A44+1),$E$12:$E$21,1)))),$F$12) * (($B$9 * (($A44+1)/100)) + (($B$10 * (($A44+1)/100)^2) * $B$12)))</f>
        <v/>
      </c>
      <c r="D44" s="12" t="str">
        <f>IF(($A44+2)&gt;$B$11, "", IFERROR((INDEX($F$12:$F$21,MATCH(($A44+2),$E$12:$E$21,1))+(($A44+2)-INDEX($E$12:$E$21,MATCH(($A44+2),$E$12:$E$21,1)))*(IFERROR(INDEX($F$12:$F$21,MATCH(($A44+2),$E$12:$E$21,1)+1),INDEX($F$12:$F$21,MATCH(($A44+2),$E$12:$E$21,1)))-INDEX($F$12:$F$21,MATCH(($A44+2),$E$12:$E$21,1)))/IF((IFERROR(INDEX($E$12:$E$21,MATCH(($A44+2),$E$12:$E$21,1)+1),INDEX($E$12:$E$21,MATCH(($A44+2),$E$12:$E$21,1))+1)-INDEX($E$12:$E$21,MATCH(($A44+2),$E$12:$E$21,1)))=0,1,IFERROR(INDEX($E$12:$E$21,MATCH(($A44+2),$E$12:$E$21,1)+1),INDEX($E$12:$E$21,MATCH(($A44+2),$E$12:$E$21,1))+1)-INDEX($E$12:$E$21,MATCH(($A44+2),$E$12:$E$21,1)))),$F$12) * (($B$9 * (($A44+2)/100)) + (($B$10 * (($A44+2)/100)^2) * $B$12)))</f>
        <v/>
      </c>
      <c r="E44" s="12" t="str">
        <f>IF(($A44+3)&gt;$B$11, "", IFERROR((INDEX($F$12:$F$21,MATCH(($A44+3),$E$12:$E$21,1))+(($A44+3)-INDEX($E$12:$E$21,MATCH(($A44+3),$E$12:$E$21,1)))*(IFERROR(INDEX($F$12:$F$21,MATCH(($A44+3),$E$12:$E$21,1)+1),INDEX($F$12:$F$21,MATCH(($A44+3),$E$12:$E$21,1)))-INDEX($F$12:$F$21,MATCH(($A44+3),$E$12:$E$21,1)))/IF((IFERROR(INDEX($E$12:$E$21,MATCH(($A44+3),$E$12:$E$21,1)+1),INDEX($E$12:$E$21,MATCH(($A44+3),$E$12:$E$21,1))+1)-INDEX($E$12:$E$21,MATCH(($A44+3),$E$12:$E$21,1)))=0,1,IFERROR(INDEX($E$12:$E$21,MATCH(($A44+3),$E$12:$E$21,1)+1),INDEX($E$12:$E$21,MATCH(($A44+3),$E$12:$E$21,1))+1)-INDEX($E$12:$E$21,MATCH(($A44+3),$E$12:$E$21,1)))),$F$12) * (($B$9 * (($A44+3)/100)) + (($B$10 * (($A44+3)/100)^2) * $B$12)))</f>
        <v/>
      </c>
      <c r="F44" s="12" t="str">
        <f>IF(($A44+4)&gt;$B$11, "", IFERROR((INDEX($F$12:$F$21,MATCH(($A44+4),$E$12:$E$21,1))+(($A44+4)-INDEX($E$12:$E$21,MATCH(($A44+4),$E$12:$E$21,1)))*(IFERROR(INDEX($F$12:$F$21,MATCH(($A44+4),$E$12:$E$21,1)+1),INDEX($F$12:$F$21,MATCH(($A44+4),$E$12:$E$21,1)))-INDEX($F$12:$F$21,MATCH(($A44+4),$E$12:$E$21,1)))/IF((IFERROR(INDEX($E$12:$E$21,MATCH(($A44+4),$E$12:$E$21,1)+1),INDEX($E$12:$E$21,MATCH(($A44+4),$E$12:$E$21,1))+1)-INDEX($E$12:$E$21,MATCH(($A44+4),$E$12:$E$21,1)))=0,1,IFERROR(INDEX($E$12:$E$21,MATCH(($A44+4),$E$12:$E$21,1)+1),INDEX($E$12:$E$21,MATCH(($A44+4),$E$12:$E$21,1))+1)-INDEX($E$12:$E$21,MATCH(($A44+4),$E$12:$E$21,1)))),$F$12) * (($B$9 * (($A44+4)/100)) + (($B$10 * (($A44+4)/100)^2) * $B$12)))</f>
        <v/>
      </c>
      <c r="G44" s="12" t="str">
        <f>IF(($A44+5)&gt;$B$11, "", IFERROR((INDEX($F$12:$F$21,MATCH(($A44+5),$E$12:$E$21,1))+(($A44+5)-INDEX($E$12:$E$21,MATCH(($A44+5),$E$12:$E$21,1)))*(IFERROR(INDEX($F$12:$F$21,MATCH(($A44+5),$E$12:$E$21,1)+1),INDEX($F$12:$F$21,MATCH(($A44+5),$E$12:$E$21,1)))-INDEX($F$12:$F$21,MATCH(($A44+5),$E$12:$E$21,1)))/IF((IFERROR(INDEX($E$12:$E$21,MATCH(($A44+5),$E$12:$E$21,1)+1),INDEX($E$12:$E$21,MATCH(($A44+5),$E$12:$E$21,1))+1)-INDEX($E$12:$E$21,MATCH(($A44+5),$E$12:$E$21,1)))=0,1,IFERROR(INDEX($E$12:$E$21,MATCH(($A44+5),$E$12:$E$21,1)+1),INDEX($E$12:$E$21,MATCH(($A44+5),$E$12:$E$21,1))+1)-INDEX($E$12:$E$21,MATCH(($A44+5),$E$12:$E$21,1)))),$F$12) * (($B$9 * (($A44+5)/100)) + (($B$10 * (($A44+5)/100)^2) * $B$12)))</f>
        <v/>
      </c>
      <c r="H44" s="12" t="str">
        <f>IF(($A44+6)&gt;$B$11, "", IFERROR((INDEX($F$12:$F$21,MATCH(($A44+6),$E$12:$E$21,1))+(($A44+6)-INDEX($E$12:$E$21,MATCH(($A44+6),$E$12:$E$21,1)))*(IFERROR(INDEX($F$12:$F$21,MATCH(($A44+6),$E$12:$E$21,1)+1),INDEX($F$12:$F$21,MATCH(($A44+6),$E$12:$E$21,1)))-INDEX($F$12:$F$21,MATCH(($A44+6),$E$12:$E$21,1)))/IF((IFERROR(INDEX($E$12:$E$21,MATCH(($A44+6),$E$12:$E$21,1)+1),INDEX($E$12:$E$21,MATCH(($A44+6),$E$12:$E$21,1))+1)-INDEX($E$12:$E$21,MATCH(($A44+6),$E$12:$E$21,1)))=0,1,IFERROR(INDEX($E$12:$E$21,MATCH(($A44+6),$E$12:$E$21,1)+1),INDEX($E$12:$E$21,MATCH(($A44+6),$E$12:$E$21,1))+1)-INDEX($E$12:$E$21,MATCH(($A44+6),$E$12:$E$21,1)))),$F$12) * (($B$9 * (($A44+6)/100)) + (($B$10 * (($A44+6)/100)^2) * $B$12)))</f>
        <v/>
      </c>
      <c r="I44" s="12" t="str">
        <f>IF(($A44+7)&gt;$B$11, "", IFERROR((INDEX($F$12:$F$21,MATCH(($A44+7),$E$12:$E$21,1))+(($A44+7)-INDEX($E$12:$E$21,MATCH(($A44+7),$E$12:$E$21,1)))*(IFERROR(INDEX($F$12:$F$21,MATCH(($A44+7),$E$12:$E$21,1)+1),INDEX($F$12:$F$21,MATCH(($A44+7),$E$12:$E$21,1)))-INDEX($F$12:$F$21,MATCH(($A44+7),$E$12:$E$21,1)))/IF((IFERROR(INDEX($E$12:$E$21,MATCH(($A44+7),$E$12:$E$21,1)+1),INDEX($E$12:$E$21,MATCH(($A44+7),$E$12:$E$21,1))+1)-INDEX($E$12:$E$21,MATCH(($A44+7),$E$12:$E$21,1)))=0,1,IFERROR(INDEX($E$12:$E$21,MATCH(($A44+7),$E$12:$E$21,1)+1),INDEX($E$12:$E$21,MATCH(($A44+7),$E$12:$E$21,1))+1)-INDEX($E$12:$E$21,MATCH(($A44+7),$E$12:$E$21,1)))),$F$12) * (($B$9 * (($A44+7)/100)) + (($B$10 * (($A44+7)/100)^2) * $B$12)))</f>
        <v/>
      </c>
      <c r="J44" s="12" t="str">
        <f>IF(($A44+8)&gt;$B$11, "", IFERROR((INDEX($F$12:$F$21,MATCH(($A44+8),$E$12:$E$21,1))+(($A44+8)-INDEX($E$12:$E$21,MATCH(($A44+8),$E$12:$E$21,1)))*(IFERROR(INDEX($F$12:$F$21,MATCH(($A44+8),$E$12:$E$21,1)+1),INDEX($F$12:$F$21,MATCH(($A44+8),$E$12:$E$21,1)))-INDEX($F$12:$F$21,MATCH(($A44+8),$E$12:$E$21,1)))/IF((IFERROR(INDEX($E$12:$E$21,MATCH(($A44+8),$E$12:$E$21,1)+1),INDEX($E$12:$E$21,MATCH(($A44+8),$E$12:$E$21,1))+1)-INDEX($E$12:$E$21,MATCH(($A44+8),$E$12:$E$21,1)))=0,1,IFERROR(INDEX($E$12:$E$21,MATCH(($A44+8),$E$12:$E$21,1)+1),INDEX($E$12:$E$21,MATCH(($A44+8),$E$12:$E$21,1))+1)-INDEX($E$12:$E$21,MATCH(($A44+8),$E$12:$E$21,1)))),$F$12) * (($B$9 * (($A44+8)/100)) + (($B$10 * (($A44+8)/100)^2) * $B$12)))</f>
        <v/>
      </c>
      <c r="K44" s="12" t="str">
        <f>IF(($A44+9)&gt;$B$11, "", IFERROR((INDEX($F$12:$F$21,MATCH(($A44+9),$E$12:$E$21,1))+(($A44+9)-INDEX($E$12:$E$21,MATCH(($A44+9),$E$12:$E$21,1)))*(IFERROR(INDEX($F$12:$F$21,MATCH(($A44+9),$E$12:$E$21,1)+1),INDEX($F$12:$F$21,MATCH(($A44+9),$E$12:$E$21,1)))-INDEX($F$12:$F$21,MATCH(($A44+9),$E$12:$E$21,1)))/IF((IFERROR(INDEX($E$12:$E$21,MATCH(($A44+9),$E$12:$E$21,1)+1),INDEX($E$12:$E$21,MATCH(($A44+9),$E$12:$E$21,1))+1)-INDEX($E$12:$E$21,MATCH(($A44+9),$E$12:$E$21,1)))=0,1,IFERROR(INDEX($E$12:$E$21,MATCH(($A44+9),$E$12:$E$21,1)+1),INDEX($E$12:$E$21,MATCH(($A44+9),$E$12:$E$21,1))+1)-INDEX($E$12:$E$21,MATCH(($A44+9),$E$12:$E$21,1)))),$F$12) * (($B$9 * (($A44+9)/100)) + (($B$10 * (($A44+9)/100)^2) * $B$12)))</f>
        <v/>
      </c>
    </row>
    <row r="45">
      <c r="A45" s="11">
        <v>90</v>
      </c>
      <c r="B45" s="12" t="str">
        <f>IF(($A45+0)&gt;$B$11, "", IFERROR((INDEX($F$12:$F$21,MATCH(($A45+0),$E$12:$E$21,1))+(($A45+0)-INDEX($E$12:$E$21,MATCH(($A45+0),$E$12:$E$21,1)))*(IFERROR(INDEX($F$12:$F$21,MATCH(($A45+0),$E$12:$E$21,1)+1),INDEX($F$12:$F$21,MATCH(($A45+0),$E$12:$E$21,1)))-INDEX($F$12:$F$21,MATCH(($A45+0),$E$12:$E$21,1)))/IF((IFERROR(INDEX($E$12:$E$21,MATCH(($A45+0),$E$12:$E$21,1)+1),INDEX($E$12:$E$21,MATCH(($A45+0),$E$12:$E$21,1))+1)-INDEX($E$12:$E$21,MATCH(($A45+0),$E$12:$E$21,1)))=0,1,IFERROR(INDEX($E$12:$E$21,MATCH(($A45+0),$E$12:$E$21,1)+1),INDEX($E$12:$E$21,MATCH(($A45+0),$E$12:$E$21,1))+1)-INDEX($E$12:$E$21,MATCH(($A45+0),$E$12:$E$21,1)))),$F$12) * (($B$9 * (($A45+0)/100)) + (($B$10 * (($A45+0)/100)^2) * $B$12)))</f>
        <v/>
      </c>
      <c r="C45" s="12" t="str">
        <f>IF(($A45+1)&gt;$B$11, "", IFERROR((INDEX($F$12:$F$21,MATCH(($A45+1),$E$12:$E$21,1))+(($A45+1)-INDEX($E$12:$E$21,MATCH(($A45+1),$E$12:$E$21,1)))*(IFERROR(INDEX($F$12:$F$21,MATCH(($A45+1),$E$12:$E$21,1)+1),INDEX($F$12:$F$21,MATCH(($A45+1),$E$12:$E$21,1)))-INDEX($F$12:$F$21,MATCH(($A45+1),$E$12:$E$21,1)))/IF((IFERROR(INDEX($E$12:$E$21,MATCH(($A45+1),$E$12:$E$21,1)+1),INDEX($E$12:$E$21,MATCH(($A45+1),$E$12:$E$21,1))+1)-INDEX($E$12:$E$21,MATCH(($A45+1),$E$12:$E$21,1)))=0,1,IFERROR(INDEX($E$12:$E$21,MATCH(($A45+1),$E$12:$E$21,1)+1),INDEX($E$12:$E$21,MATCH(($A45+1),$E$12:$E$21,1))+1)-INDEX($E$12:$E$21,MATCH(($A45+1),$E$12:$E$21,1)))),$F$12) * (($B$9 * (($A45+1)/100)) + (($B$10 * (($A45+1)/100)^2) * $B$12)))</f>
        <v/>
      </c>
      <c r="D45" s="12" t="str">
        <f>IF(($A45+2)&gt;$B$11, "", IFERROR((INDEX($F$12:$F$21,MATCH(($A45+2),$E$12:$E$21,1))+(($A45+2)-INDEX($E$12:$E$21,MATCH(($A45+2),$E$12:$E$21,1)))*(IFERROR(INDEX($F$12:$F$21,MATCH(($A45+2),$E$12:$E$21,1)+1),INDEX($F$12:$F$21,MATCH(($A45+2),$E$12:$E$21,1)))-INDEX($F$12:$F$21,MATCH(($A45+2),$E$12:$E$21,1)))/IF((IFERROR(INDEX($E$12:$E$21,MATCH(($A45+2),$E$12:$E$21,1)+1),INDEX($E$12:$E$21,MATCH(($A45+2),$E$12:$E$21,1))+1)-INDEX($E$12:$E$21,MATCH(($A45+2),$E$12:$E$21,1)))=0,1,IFERROR(INDEX($E$12:$E$21,MATCH(($A45+2),$E$12:$E$21,1)+1),INDEX($E$12:$E$21,MATCH(($A45+2),$E$12:$E$21,1))+1)-INDEX($E$12:$E$21,MATCH(($A45+2),$E$12:$E$21,1)))),$F$12) * (($B$9 * (($A45+2)/100)) + (($B$10 * (($A45+2)/100)^2) * $B$12)))</f>
        <v/>
      </c>
      <c r="E45" s="12" t="str">
        <f>IF(($A45+3)&gt;$B$11, "", IFERROR((INDEX($F$12:$F$21,MATCH(($A45+3),$E$12:$E$21,1))+(($A45+3)-INDEX($E$12:$E$21,MATCH(($A45+3),$E$12:$E$21,1)))*(IFERROR(INDEX($F$12:$F$21,MATCH(($A45+3),$E$12:$E$21,1)+1),INDEX($F$12:$F$21,MATCH(($A45+3),$E$12:$E$21,1)))-INDEX($F$12:$F$21,MATCH(($A45+3),$E$12:$E$21,1)))/IF((IFERROR(INDEX($E$12:$E$21,MATCH(($A45+3),$E$12:$E$21,1)+1),INDEX($E$12:$E$21,MATCH(($A45+3),$E$12:$E$21,1))+1)-INDEX($E$12:$E$21,MATCH(($A45+3),$E$12:$E$21,1)))=0,1,IFERROR(INDEX($E$12:$E$21,MATCH(($A45+3),$E$12:$E$21,1)+1),INDEX($E$12:$E$21,MATCH(($A45+3),$E$12:$E$21,1))+1)-INDEX($E$12:$E$21,MATCH(($A45+3),$E$12:$E$21,1)))),$F$12) * (($B$9 * (($A45+3)/100)) + (($B$10 * (($A45+3)/100)^2) * $B$12)))</f>
        <v/>
      </c>
      <c r="F45" s="12" t="str">
        <f>IF(($A45+4)&gt;$B$11, "", IFERROR((INDEX($F$12:$F$21,MATCH(($A45+4),$E$12:$E$21,1))+(($A45+4)-INDEX($E$12:$E$21,MATCH(($A45+4),$E$12:$E$21,1)))*(IFERROR(INDEX($F$12:$F$21,MATCH(($A45+4),$E$12:$E$21,1)+1),INDEX($F$12:$F$21,MATCH(($A45+4),$E$12:$E$21,1)))-INDEX($F$12:$F$21,MATCH(($A45+4),$E$12:$E$21,1)))/IF((IFERROR(INDEX($E$12:$E$21,MATCH(($A45+4),$E$12:$E$21,1)+1),INDEX($E$12:$E$21,MATCH(($A45+4),$E$12:$E$21,1))+1)-INDEX($E$12:$E$21,MATCH(($A45+4),$E$12:$E$21,1)))=0,1,IFERROR(INDEX($E$12:$E$21,MATCH(($A45+4),$E$12:$E$21,1)+1),INDEX($E$12:$E$21,MATCH(($A45+4),$E$12:$E$21,1))+1)-INDEX($E$12:$E$21,MATCH(($A45+4),$E$12:$E$21,1)))),$F$12) * (($B$9 * (($A45+4)/100)) + (($B$10 * (($A45+4)/100)^2) * $B$12)))</f>
        <v/>
      </c>
      <c r="G45" s="12" t="str">
        <f>IF(($A45+5)&gt;$B$11, "", IFERROR((INDEX($F$12:$F$21,MATCH(($A45+5),$E$12:$E$21,1))+(($A45+5)-INDEX($E$12:$E$21,MATCH(($A45+5),$E$12:$E$21,1)))*(IFERROR(INDEX($F$12:$F$21,MATCH(($A45+5),$E$12:$E$21,1)+1),INDEX($F$12:$F$21,MATCH(($A45+5),$E$12:$E$21,1)))-INDEX($F$12:$F$21,MATCH(($A45+5),$E$12:$E$21,1)))/IF((IFERROR(INDEX($E$12:$E$21,MATCH(($A45+5),$E$12:$E$21,1)+1),INDEX($E$12:$E$21,MATCH(($A45+5),$E$12:$E$21,1))+1)-INDEX($E$12:$E$21,MATCH(($A45+5),$E$12:$E$21,1)))=0,1,IFERROR(INDEX($E$12:$E$21,MATCH(($A45+5),$E$12:$E$21,1)+1),INDEX($E$12:$E$21,MATCH(($A45+5),$E$12:$E$21,1))+1)-INDEX($E$12:$E$21,MATCH(($A45+5),$E$12:$E$21,1)))),$F$12) * (($B$9 * (($A45+5)/100)) + (($B$10 * (($A45+5)/100)^2) * $B$12)))</f>
        <v/>
      </c>
      <c r="H45" s="12" t="str">
        <f>IF(($A45+6)&gt;$B$11, "", IFERROR((INDEX($F$12:$F$21,MATCH(($A45+6),$E$12:$E$21,1))+(($A45+6)-INDEX($E$12:$E$21,MATCH(($A45+6),$E$12:$E$21,1)))*(IFERROR(INDEX($F$12:$F$21,MATCH(($A45+6),$E$12:$E$21,1)+1),INDEX($F$12:$F$21,MATCH(($A45+6),$E$12:$E$21,1)))-INDEX($F$12:$F$21,MATCH(($A45+6),$E$12:$E$21,1)))/IF((IFERROR(INDEX($E$12:$E$21,MATCH(($A45+6),$E$12:$E$21,1)+1),INDEX($E$12:$E$21,MATCH(($A45+6),$E$12:$E$21,1))+1)-INDEX($E$12:$E$21,MATCH(($A45+6),$E$12:$E$21,1)))=0,1,IFERROR(INDEX($E$12:$E$21,MATCH(($A45+6),$E$12:$E$21,1)+1),INDEX($E$12:$E$21,MATCH(($A45+6),$E$12:$E$21,1))+1)-INDEX($E$12:$E$21,MATCH(($A45+6),$E$12:$E$21,1)))),$F$12) * (($B$9 * (($A45+6)/100)) + (($B$10 * (($A45+6)/100)^2) * $B$12)))</f>
        <v/>
      </c>
      <c r="I45" s="12" t="str">
        <f>IF(($A45+7)&gt;$B$11, "", IFERROR((INDEX($F$12:$F$21,MATCH(($A45+7),$E$12:$E$21,1))+(($A45+7)-INDEX($E$12:$E$21,MATCH(($A45+7),$E$12:$E$21,1)))*(IFERROR(INDEX($F$12:$F$21,MATCH(($A45+7),$E$12:$E$21,1)+1),INDEX($F$12:$F$21,MATCH(($A45+7),$E$12:$E$21,1)))-INDEX($F$12:$F$21,MATCH(($A45+7),$E$12:$E$21,1)))/IF((IFERROR(INDEX($E$12:$E$21,MATCH(($A45+7),$E$12:$E$21,1)+1),INDEX($E$12:$E$21,MATCH(($A45+7),$E$12:$E$21,1))+1)-INDEX($E$12:$E$21,MATCH(($A45+7),$E$12:$E$21,1)))=0,1,IFERROR(INDEX($E$12:$E$21,MATCH(($A45+7),$E$12:$E$21,1)+1),INDEX($E$12:$E$21,MATCH(($A45+7),$E$12:$E$21,1))+1)-INDEX($E$12:$E$21,MATCH(($A45+7),$E$12:$E$21,1)))),$F$12) * (($B$9 * (($A45+7)/100)) + (($B$10 * (($A45+7)/100)^2) * $B$12)))</f>
        <v/>
      </c>
      <c r="J45" s="12" t="str">
        <f>IF(($A45+8)&gt;$B$11, "", IFERROR((INDEX($F$12:$F$21,MATCH(($A45+8),$E$12:$E$21,1))+(($A45+8)-INDEX($E$12:$E$21,MATCH(($A45+8),$E$12:$E$21,1)))*(IFERROR(INDEX($F$12:$F$21,MATCH(($A45+8),$E$12:$E$21,1)+1),INDEX($F$12:$F$21,MATCH(($A45+8),$E$12:$E$21,1)))-INDEX($F$12:$F$21,MATCH(($A45+8),$E$12:$E$21,1)))/IF((IFERROR(INDEX($E$12:$E$21,MATCH(($A45+8),$E$12:$E$21,1)+1),INDEX($E$12:$E$21,MATCH(($A45+8),$E$12:$E$21,1))+1)-INDEX($E$12:$E$21,MATCH(($A45+8),$E$12:$E$21,1)))=0,1,IFERROR(INDEX($E$12:$E$21,MATCH(($A45+8),$E$12:$E$21,1)+1),INDEX($E$12:$E$21,MATCH(($A45+8),$E$12:$E$21,1))+1)-INDEX($E$12:$E$21,MATCH(($A45+8),$E$12:$E$21,1)))),$F$12) * (($B$9 * (($A45+8)/100)) + (($B$10 * (($A45+8)/100)^2) * $B$12)))</f>
        <v/>
      </c>
      <c r="K45" s="12" t="str">
        <f>IF(($A45+9)&gt;$B$11, "", IFERROR((INDEX($F$12:$F$21,MATCH(($A45+9),$E$12:$E$21,1))+(($A45+9)-INDEX($E$12:$E$21,MATCH(($A45+9),$E$12:$E$21,1)))*(IFERROR(INDEX($F$12:$F$21,MATCH(($A45+9),$E$12:$E$21,1)+1),INDEX($F$12:$F$21,MATCH(($A45+9),$E$12:$E$21,1)))-INDEX($F$12:$F$21,MATCH(($A45+9),$E$12:$E$21,1)))/IF((IFERROR(INDEX($E$12:$E$21,MATCH(($A45+9),$E$12:$E$21,1)+1),INDEX($E$12:$E$21,MATCH(($A45+9),$E$12:$E$21,1))+1)-INDEX($E$12:$E$21,MATCH(($A45+9),$E$12:$E$21,1)))=0,1,IFERROR(INDEX($E$12:$E$21,MATCH(($A45+9),$E$12:$E$21,1)+1),INDEX($E$12:$E$21,MATCH(($A45+9),$E$12:$E$21,1))+1)-INDEX($E$12:$E$21,MATCH(($A45+9),$E$12:$E$21,1)))),$F$12) * (($B$9 * (($A45+9)/100)) + (($B$10 * (($A45+9)/100)^2) * $B$12)))</f>
        <v/>
      </c>
    </row>
    <row r="46">
      <c r="A46" s="11">
        <v>100</v>
      </c>
      <c r="B46" s="12" t="str">
        <f>IF(($A46+0)&gt;$B$11, "", IFERROR((INDEX($F$12:$F$21,MATCH(($A46+0),$E$12:$E$21,1))+(($A46+0)-INDEX($E$12:$E$21,MATCH(($A46+0),$E$12:$E$21,1)))*(IFERROR(INDEX($F$12:$F$21,MATCH(($A46+0),$E$12:$E$21,1)+1),INDEX($F$12:$F$21,MATCH(($A46+0),$E$12:$E$21,1)))-INDEX($F$12:$F$21,MATCH(($A46+0),$E$12:$E$21,1)))/IF((IFERROR(INDEX($E$12:$E$21,MATCH(($A46+0),$E$12:$E$21,1)+1),INDEX($E$12:$E$21,MATCH(($A46+0),$E$12:$E$21,1))+1)-INDEX($E$12:$E$21,MATCH(($A46+0),$E$12:$E$21,1)))=0,1,IFERROR(INDEX($E$12:$E$21,MATCH(($A46+0),$E$12:$E$21,1)+1),INDEX($E$12:$E$21,MATCH(($A46+0),$E$12:$E$21,1))+1)-INDEX($E$12:$E$21,MATCH(($A46+0),$E$12:$E$21,1)))),$F$12) * (($B$9 * (($A46+0)/100)) + (($B$10 * (($A46+0)/100)^2) * $B$12)))</f>
        <v/>
      </c>
      <c r="C46" s="12" t="str">
        <f>IF(($A46+1)&gt;$B$11, "", IFERROR((INDEX($F$12:$F$21,MATCH(($A46+1),$E$12:$E$21,1))+(($A46+1)-INDEX($E$12:$E$21,MATCH(($A46+1),$E$12:$E$21,1)))*(IFERROR(INDEX($F$12:$F$21,MATCH(($A46+1),$E$12:$E$21,1)+1),INDEX($F$12:$F$21,MATCH(($A46+1),$E$12:$E$21,1)))-INDEX($F$12:$F$21,MATCH(($A46+1),$E$12:$E$21,1)))/IF((IFERROR(INDEX($E$12:$E$21,MATCH(($A46+1),$E$12:$E$21,1)+1),INDEX($E$12:$E$21,MATCH(($A46+1),$E$12:$E$21,1))+1)-INDEX($E$12:$E$21,MATCH(($A46+1),$E$12:$E$21,1)))=0,1,IFERROR(INDEX($E$12:$E$21,MATCH(($A46+1),$E$12:$E$21,1)+1),INDEX($E$12:$E$21,MATCH(($A46+1),$E$12:$E$21,1))+1)-INDEX($E$12:$E$21,MATCH(($A46+1),$E$12:$E$21,1)))),$F$12) * (($B$9 * (($A46+1)/100)) + (($B$10 * (($A46+1)/100)^2) * $B$12)))</f>
        <v/>
      </c>
      <c r="D46" s="12" t="str">
        <f>IF(($A46+2)&gt;$B$11, "", IFERROR((INDEX($F$12:$F$21,MATCH(($A46+2),$E$12:$E$21,1))+(($A46+2)-INDEX($E$12:$E$21,MATCH(($A46+2),$E$12:$E$21,1)))*(IFERROR(INDEX($F$12:$F$21,MATCH(($A46+2),$E$12:$E$21,1)+1),INDEX($F$12:$F$21,MATCH(($A46+2),$E$12:$E$21,1)))-INDEX($F$12:$F$21,MATCH(($A46+2),$E$12:$E$21,1)))/IF((IFERROR(INDEX($E$12:$E$21,MATCH(($A46+2),$E$12:$E$21,1)+1),INDEX($E$12:$E$21,MATCH(($A46+2),$E$12:$E$21,1))+1)-INDEX($E$12:$E$21,MATCH(($A46+2),$E$12:$E$21,1)))=0,1,IFERROR(INDEX($E$12:$E$21,MATCH(($A46+2),$E$12:$E$21,1)+1),INDEX($E$12:$E$21,MATCH(($A46+2),$E$12:$E$21,1))+1)-INDEX($E$12:$E$21,MATCH(($A46+2),$E$12:$E$21,1)))),$F$12) * (($B$9 * (($A46+2)/100)) + (($B$10 * (($A46+2)/100)^2) * $B$12)))</f>
        <v/>
      </c>
      <c r="E46" s="12" t="str">
        <f>IF(($A46+3)&gt;$B$11, "", IFERROR((INDEX($F$12:$F$21,MATCH(($A46+3),$E$12:$E$21,1))+(($A46+3)-INDEX($E$12:$E$21,MATCH(($A46+3),$E$12:$E$21,1)))*(IFERROR(INDEX($F$12:$F$21,MATCH(($A46+3),$E$12:$E$21,1)+1),INDEX($F$12:$F$21,MATCH(($A46+3),$E$12:$E$21,1)))-INDEX($F$12:$F$21,MATCH(($A46+3),$E$12:$E$21,1)))/IF((IFERROR(INDEX($E$12:$E$21,MATCH(($A46+3),$E$12:$E$21,1)+1),INDEX($E$12:$E$21,MATCH(($A46+3),$E$12:$E$21,1))+1)-INDEX($E$12:$E$21,MATCH(($A46+3),$E$12:$E$21,1)))=0,1,IFERROR(INDEX($E$12:$E$21,MATCH(($A46+3),$E$12:$E$21,1)+1),INDEX($E$12:$E$21,MATCH(($A46+3),$E$12:$E$21,1))+1)-INDEX($E$12:$E$21,MATCH(($A46+3),$E$12:$E$21,1)))),$F$12) * (($B$9 * (($A46+3)/100)) + (($B$10 * (($A46+3)/100)^2) * $B$12)))</f>
        <v/>
      </c>
      <c r="F46" s="12" t="str">
        <f>IF(($A46+4)&gt;$B$11, "", IFERROR((INDEX($F$12:$F$21,MATCH(($A46+4),$E$12:$E$21,1))+(($A46+4)-INDEX($E$12:$E$21,MATCH(($A46+4),$E$12:$E$21,1)))*(IFERROR(INDEX($F$12:$F$21,MATCH(($A46+4),$E$12:$E$21,1)+1),INDEX($F$12:$F$21,MATCH(($A46+4),$E$12:$E$21,1)))-INDEX($F$12:$F$21,MATCH(($A46+4),$E$12:$E$21,1)))/IF((IFERROR(INDEX($E$12:$E$21,MATCH(($A46+4),$E$12:$E$21,1)+1),INDEX($E$12:$E$21,MATCH(($A46+4),$E$12:$E$21,1))+1)-INDEX($E$12:$E$21,MATCH(($A46+4),$E$12:$E$21,1)))=0,1,IFERROR(INDEX($E$12:$E$21,MATCH(($A46+4),$E$12:$E$21,1)+1),INDEX($E$12:$E$21,MATCH(($A46+4),$E$12:$E$21,1))+1)-INDEX($E$12:$E$21,MATCH(($A46+4),$E$12:$E$21,1)))),$F$12) * (($B$9 * (($A46+4)/100)) + (($B$10 * (($A46+4)/100)^2) * $B$12)))</f>
        <v/>
      </c>
      <c r="G46" s="12" t="str">
        <f>IF(($A46+5)&gt;$B$11, "", IFERROR((INDEX($F$12:$F$21,MATCH(($A46+5),$E$12:$E$21,1))+(($A46+5)-INDEX($E$12:$E$21,MATCH(($A46+5),$E$12:$E$21,1)))*(IFERROR(INDEX($F$12:$F$21,MATCH(($A46+5),$E$12:$E$21,1)+1),INDEX($F$12:$F$21,MATCH(($A46+5),$E$12:$E$21,1)))-INDEX($F$12:$F$21,MATCH(($A46+5),$E$12:$E$21,1)))/IF((IFERROR(INDEX($E$12:$E$21,MATCH(($A46+5),$E$12:$E$21,1)+1),INDEX($E$12:$E$21,MATCH(($A46+5),$E$12:$E$21,1))+1)-INDEX($E$12:$E$21,MATCH(($A46+5),$E$12:$E$21,1)))=0,1,IFERROR(INDEX($E$12:$E$21,MATCH(($A46+5),$E$12:$E$21,1)+1),INDEX($E$12:$E$21,MATCH(($A46+5),$E$12:$E$21,1))+1)-INDEX($E$12:$E$21,MATCH(($A46+5),$E$12:$E$21,1)))),$F$12) * (($B$9 * (($A46+5)/100)) + (($B$10 * (($A46+5)/100)^2) * $B$12)))</f>
        <v/>
      </c>
      <c r="H46" s="12" t="str">
        <f>IF(($A46+6)&gt;$B$11, "", IFERROR((INDEX($F$12:$F$21,MATCH(($A46+6),$E$12:$E$21,1))+(($A46+6)-INDEX($E$12:$E$21,MATCH(($A46+6),$E$12:$E$21,1)))*(IFERROR(INDEX($F$12:$F$21,MATCH(($A46+6),$E$12:$E$21,1)+1),INDEX($F$12:$F$21,MATCH(($A46+6),$E$12:$E$21,1)))-INDEX($F$12:$F$21,MATCH(($A46+6),$E$12:$E$21,1)))/IF((IFERROR(INDEX($E$12:$E$21,MATCH(($A46+6),$E$12:$E$21,1)+1),INDEX($E$12:$E$21,MATCH(($A46+6),$E$12:$E$21,1))+1)-INDEX($E$12:$E$21,MATCH(($A46+6),$E$12:$E$21,1)))=0,1,IFERROR(INDEX($E$12:$E$21,MATCH(($A46+6),$E$12:$E$21,1)+1),INDEX($E$12:$E$21,MATCH(($A46+6),$E$12:$E$21,1))+1)-INDEX($E$12:$E$21,MATCH(($A46+6),$E$12:$E$21,1)))),$F$12) * (($B$9 * (($A46+6)/100)) + (($B$10 * (($A46+6)/100)^2) * $B$12)))</f>
        <v/>
      </c>
      <c r="I46" s="12" t="str">
        <f>IF(($A46+7)&gt;$B$11, "", IFERROR((INDEX($F$12:$F$21,MATCH(($A46+7),$E$12:$E$21,1))+(($A46+7)-INDEX($E$12:$E$21,MATCH(($A46+7),$E$12:$E$21,1)))*(IFERROR(INDEX($F$12:$F$21,MATCH(($A46+7),$E$12:$E$21,1)+1),INDEX($F$12:$F$21,MATCH(($A46+7),$E$12:$E$21,1)))-INDEX($F$12:$F$21,MATCH(($A46+7),$E$12:$E$21,1)))/IF((IFERROR(INDEX($E$12:$E$21,MATCH(($A46+7),$E$12:$E$21,1)+1),INDEX($E$12:$E$21,MATCH(($A46+7),$E$12:$E$21,1))+1)-INDEX($E$12:$E$21,MATCH(($A46+7),$E$12:$E$21,1)))=0,1,IFERROR(INDEX($E$12:$E$21,MATCH(($A46+7),$E$12:$E$21,1)+1),INDEX($E$12:$E$21,MATCH(($A46+7),$E$12:$E$21,1))+1)-INDEX($E$12:$E$21,MATCH(($A46+7),$E$12:$E$21,1)))),$F$12) * (($B$9 * (($A46+7)/100)) + (($B$10 * (($A46+7)/100)^2) * $B$12)))</f>
        <v/>
      </c>
      <c r="J46" s="12" t="str">
        <f>IF(($A46+8)&gt;$B$11, "", IFERROR((INDEX($F$12:$F$21,MATCH(($A46+8),$E$12:$E$21,1))+(($A46+8)-INDEX($E$12:$E$21,MATCH(($A46+8),$E$12:$E$21,1)))*(IFERROR(INDEX($F$12:$F$21,MATCH(($A46+8),$E$12:$E$21,1)+1),INDEX($F$12:$F$21,MATCH(($A46+8),$E$12:$E$21,1)))-INDEX($F$12:$F$21,MATCH(($A46+8),$E$12:$E$21,1)))/IF((IFERROR(INDEX($E$12:$E$21,MATCH(($A46+8),$E$12:$E$21,1)+1),INDEX($E$12:$E$21,MATCH(($A46+8),$E$12:$E$21,1))+1)-INDEX($E$12:$E$21,MATCH(($A46+8),$E$12:$E$21,1)))=0,1,IFERROR(INDEX($E$12:$E$21,MATCH(($A46+8),$E$12:$E$21,1)+1),INDEX($E$12:$E$21,MATCH(($A46+8),$E$12:$E$21,1))+1)-INDEX($E$12:$E$21,MATCH(($A46+8),$E$12:$E$21,1)))),$F$12) * (($B$9 * (($A46+8)/100)) + (($B$10 * (($A46+8)/100)^2) * $B$12)))</f>
        <v/>
      </c>
      <c r="K46" s="12" t="str">
        <f>IF(($A46+9)&gt;$B$11, "", IFERROR((INDEX($F$12:$F$21,MATCH(($A46+9),$E$12:$E$21,1))+(($A46+9)-INDEX($E$12:$E$21,MATCH(($A46+9),$E$12:$E$21,1)))*(IFERROR(INDEX($F$12:$F$21,MATCH(($A46+9),$E$12:$E$21,1)+1),INDEX($F$12:$F$21,MATCH(($A46+9),$E$12:$E$21,1)))-INDEX($F$12:$F$21,MATCH(($A46+9),$E$12:$E$21,1)))/IF((IFERROR(INDEX($E$12:$E$21,MATCH(($A46+9),$E$12:$E$21,1)+1),INDEX($E$12:$E$21,MATCH(($A46+9),$E$12:$E$21,1))+1)-INDEX($E$12:$E$21,MATCH(($A46+9),$E$12:$E$21,1)))=0,1,IFERROR(INDEX($E$12:$E$21,MATCH(($A46+9),$E$12:$E$21,1)+1),INDEX($E$12:$E$21,MATCH(($A46+9),$E$12:$E$21,1))+1)-INDEX($E$12:$E$21,MATCH(($A46+9),$E$12:$E$21,1)))),$F$12) * (($B$9 * (($A46+9)/100)) + (($B$10 * (($A46+9)/100)^2) * $B$12)))</f>
        <v/>
      </c>
    </row>
    <row r="47">
      <c r="A47" s="11">
        <v>110</v>
      </c>
      <c r="B47" s="12" t="str">
        <f>IF(($A47+0)&gt;$B$11, "", IFERROR((INDEX($F$12:$F$21,MATCH(($A47+0),$E$12:$E$21,1))+(($A47+0)-INDEX($E$12:$E$21,MATCH(($A47+0),$E$12:$E$21,1)))*(IFERROR(INDEX($F$12:$F$21,MATCH(($A47+0),$E$12:$E$21,1)+1),INDEX($F$12:$F$21,MATCH(($A47+0),$E$12:$E$21,1)))-INDEX($F$12:$F$21,MATCH(($A47+0),$E$12:$E$21,1)))/IF((IFERROR(INDEX($E$12:$E$21,MATCH(($A47+0),$E$12:$E$21,1)+1),INDEX($E$12:$E$21,MATCH(($A47+0),$E$12:$E$21,1))+1)-INDEX($E$12:$E$21,MATCH(($A47+0),$E$12:$E$21,1)))=0,1,IFERROR(INDEX($E$12:$E$21,MATCH(($A47+0),$E$12:$E$21,1)+1),INDEX($E$12:$E$21,MATCH(($A47+0),$E$12:$E$21,1))+1)-INDEX($E$12:$E$21,MATCH(($A47+0),$E$12:$E$21,1)))),$F$12) * (($B$9 * (($A47+0)/100)) + (($B$10 * (($A47+0)/100)^2) * $B$12)))</f>
        <v/>
      </c>
      <c r="C47" s="12" t="str">
        <f>IF(($A47+1)&gt;$B$11, "", IFERROR((INDEX($F$12:$F$21,MATCH(($A47+1),$E$12:$E$21,1))+(($A47+1)-INDEX($E$12:$E$21,MATCH(($A47+1),$E$12:$E$21,1)))*(IFERROR(INDEX($F$12:$F$21,MATCH(($A47+1),$E$12:$E$21,1)+1),INDEX($F$12:$F$21,MATCH(($A47+1),$E$12:$E$21,1)))-INDEX($F$12:$F$21,MATCH(($A47+1),$E$12:$E$21,1)))/IF((IFERROR(INDEX($E$12:$E$21,MATCH(($A47+1),$E$12:$E$21,1)+1),INDEX($E$12:$E$21,MATCH(($A47+1),$E$12:$E$21,1))+1)-INDEX($E$12:$E$21,MATCH(($A47+1),$E$12:$E$21,1)))=0,1,IFERROR(INDEX($E$12:$E$21,MATCH(($A47+1),$E$12:$E$21,1)+1),INDEX($E$12:$E$21,MATCH(($A47+1),$E$12:$E$21,1))+1)-INDEX($E$12:$E$21,MATCH(($A47+1),$E$12:$E$21,1)))),$F$12) * (($B$9 * (($A47+1)/100)) + (($B$10 * (($A47+1)/100)^2) * $B$12)))</f>
        <v/>
      </c>
      <c r="D47" s="12" t="str">
        <f>IF(($A47+2)&gt;$B$11, "", IFERROR((INDEX($F$12:$F$21,MATCH(($A47+2),$E$12:$E$21,1))+(($A47+2)-INDEX($E$12:$E$21,MATCH(($A47+2),$E$12:$E$21,1)))*(IFERROR(INDEX($F$12:$F$21,MATCH(($A47+2),$E$12:$E$21,1)+1),INDEX($F$12:$F$21,MATCH(($A47+2),$E$12:$E$21,1)))-INDEX($F$12:$F$21,MATCH(($A47+2),$E$12:$E$21,1)))/IF((IFERROR(INDEX($E$12:$E$21,MATCH(($A47+2),$E$12:$E$21,1)+1),INDEX($E$12:$E$21,MATCH(($A47+2),$E$12:$E$21,1))+1)-INDEX($E$12:$E$21,MATCH(($A47+2),$E$12:$E$21,1)))=0,1,IFERROR(INDEX($E$12:$E$21,MATCH(($A47+2),$E$12:$E$21,1)+1),INDEX($E$12:$E$21,MATCH(($A47+2),$E$12:$E$21,1))+1)-INDEX($E$12:$E$21,MATCH(($A47+2),$E$12:$E$21,1)))),$F$12) * (($B$9 * (($A47+2)/100)) + (($B$10 * (($A47+2)/100)^2) * $B$12)))</f>
        <v/>
      </c>
      <c r="E47" s="12" t="str">
        <f>IF(($A47+3)&gt;$B$11, "", IFERROR((INDEX($F$12:$F$21,MATCH(($A47+3),$E$12:$E$21,1))+(($A47+3)-INDEX($E$12:$E$21,MATCH(($A47+3),$E$12:$E$21,1)))*(IFERROR(INDEX($F$12:$F$21,MATCH(($A47+3),$E$12:$E$21,1)+1),INDEX($F$12:$F$21,MATCH(($A47+3),$E$12:$E$21,1)))-INDEX($F$12:$F$21,MATCH(($A47+3),$E$12:$E$21,1)))/IF((IFERROR(INDEX($E$12:$E$21,MATCH(($A47+3),$E$12:$E$21,1)+1),INDEX($E$12:$E$21,MATCH(($A47+3),$E$12:$E$21,1))+1)-INDEX($E$12:$E$21,MATCH(($A47+3),$E$12:$E$21,1)))=0,1,IFERROR(INDEX($E$12:$E$21,MATCH(($A47+3),$E$12:$E$21,1)+1),INDEX($E$12:$E$21,MATCH(($A47+3),$E$12:$E$21,1))+1)-INDEX($E$12:$E$21,MATCH(($A47+3),$E$12:$E$21,1)))),$F$12) * (($B$9 * (($A47+3)/100)) + (($B$10 * (($A47+3)/100)^2) * $B$12)))</f>
        <v/>
      </c>
      <c r="F47" s="12" t="str">
        <f>IF(($A47+4)&gt;$B$11, "", IFERROR((INDEX($F$12:$F$21,MATCH(($A47+4),$E$12:$E$21,1))+(($A47+4)-INDEX($E$12:$E$21,MATCH(($A47+4),$E$12:$E$21,1)))*(IFERROR(INDEX($F$12:$F$21,MATCH(($A47+4),$E$12:$E$21,1)+1),INDEX($F$12:$F$21,MATCH(($A47+4),$E$12:$E$21,1)))-INDEX($F$12:$F$21,MATCH(($A47+4),$E$12:$E$21,1)))/IF((IFERROR(INDEX($E$12:$E$21,MATCH(($A47+4),$E$12:$E$21,1)+1),INDEX($E$12:$E$21,MATCH(($A47+4),$E$12:$E$21,1))+1)-INDEX($E$12:$E$21,MATCH(($A47+4),$E$12:$E$21,1)))=0,1,IFERROR(INDEX($E$12:$E$21,MATCH(($A47+4),$E$12:$E$21,1)+1),INDEX($E$12:$E$21,MATCH(($A47+4),$E$12:$E$21,1))+1)-INDEX($E$12:$E$21,MATCH(($A47+4),$E$12:$E$21,1)))),$F$12) * (($B$9 * (($A47+4)/100)) + (($B$10 * (($A47+4)/100)^2) * $B$12)))</f>
        <v/>
      </c>
      <c r="G47" s="12" t="str">
        <f>IF(($A47+5)&gt;$B$11, "", IFERROR((INDEX($F$12:$F$21,MATCH(($A47+5),$E$12:$E$21,1))+(($A47+5)-INDEX($E$12:$E$21,MATCH(($A47+5),$E$12:$E$21,1)))*(IFERROR(INDEX($F$12:$F$21,MATCH(($A47+5),$E$12:$E$21,1)+1),INDEX($F$12:$F$21,MATCH(($A47+5),$E$12:$E$21,1)))-INDEX($F$12:$F$21,MATCH(($A47+5),$E$12:$E$21,1)))/IF((IFERROR(INDEX($E$12:$E$21,MATCH(($A47+5),$E$12:$E$21,1)+1),INDEX($E$12:$E$21,MATCH(($A47+5),$E$12:$E$21,1))+1)-INDEX($E$12:$E$21,MATCH(($A47+5),$E$12:$E$21,1)))=0,1,IFERROR(INDEX($E$12:$E$21,MATCH(($A47+5),$E$12:$E$21,1)+1),INDEX($E$12:$E$21,MATCH(($A47+5),$E$12:$E$21,1))+1)-INDEX($E$12:$E$21,MATCH(($A47+5),$E$12:$E$21,1)))),$F$12) * (($B$9 * (($A47+5)/100)) + (($B$10 * (($A47+5)/100)^2) * $B$12)))</f>
        <v/>
      </c>
      <c r="H47" s="12" t="str">
        <f>IF(($A47+6)&gt;$B$11, "", IFERROR((INDEX($F$12:$F$21,MATCH(($A47+6),$E$12:$E$21,1))+(($A47+6)-INDEX($E$12:$E$21,MATCH(($A47+6),$E$12:$E$21,1)))*(IFERROR(INDEX($F$12:$F$21,MATCH(($A47+6),$E$12:$E$21,1)+1),INDEX($F$12:$F$21,MATCH(($A47+6),$E$12:$E$21,1)))-INDEX($F$12:$F$21,MATCH(($A47+6),$E$12:$E$21,1)))/IF((IFERROR(INDEX($E$12:$E$21,MATCH(($A47+6),$E$12:$E$21,1)+1),INDEX($E$12:$E$21,MATCH(($A47+6),$E$12:$E$21,1))+1)-INDEX($E$12:$E$21,MATCH(($A47+6),$E$12:$E$21,1)))=0,1,IFERROR(INDEX($E$12:$E$21,MATCH(($A47+6),$E$12:$E$21,1)+1),INDEX($E$12:$E$21,MATCH(($A47+6),$E$12:$E$21,1))+1)-INDEX($E$12:$E$21,MATCH(($A47+6),$E$12:$E$21,1)))),$F$12) * (($B$9 * (($A47+6)/100)) + (($B$10 * (($A47+6)/100)^2) * $B$12)))</f>
        <v/>
      </c>
      <c r="I47" s="12" t="str">
        <f>IF(($A47+7)&gt;$B$11, "", IFERROR((INDEX($F$12:$F$21,MATCH(($A47+7),$E$12:$E$21,1))+(($A47+7)-INDEX($E$12:$E$21,MATCH(($A47+7),$E$12:$E$21,1)))*(IFERROR(INDEX($F$12:$F$21,MATCH(($A47+7),$E$12:$E$21,1)+1),INDEX($F$12:$F$21,MATCH(($A47+7),$E$12:$E$21,1)))-INDEX($F$12:$F$21,MATCH(($A47+7),$E$12:$E$21,1)))/IF((IFERROR(INDEX($E$12:$E$21,MATCH(($A47+7),$E$12:$E$21,1)+1),INDEX($E$12:$E$21,MATCH(($A47+7),$E$12:$E$21,1))+1)-INDEX($E$12:$E$21,MATCH(($A47+7),$E$12:$E$21,1)))=0,1,IFERROR(INDEX($E$12:$E$21,MATCH(($A47+7),$E$12:$E$21,1)+1),INDEX($E$12:$E$21,MATCH(($A47+7),$E$12:$E$21,1))+1)-INDEX($E$12:$E$21,MATCH(($A47+7),$E$12:$E$21,1)))),$F$12) * (($B$9 * (($A47+7)/100)) + (($B$10 * (($A47+7)/100)^2) * $B$12)))</f>
        <v/>
      </c>
      <c r="J47" s="12" t="str">
        <f>IF(($A47+8)&gt;$B$11, "", IFERROR((INDEX($F$12:$F$21,MATCH(($A47+8),$E$12:$E$21,1))+(($A47+8)-INDEX($E$12:$E$21,MATCH(($A47+8),$E$12:$E$21,1)))*(IFERROR(INDEX($F$12:$F$21,MATCH(($A47+8),$E$12:$E$21,1)+1),INDEX($F$12:$F$21,MATCH(($A47+8),$E$12:$E$21,1)))-INDEX($F$12:$F$21,MATCH(($A47+8),$E$12:$E$21,1)))/IF((IFERROR(INDEX($E$12:$E$21,MATCH(($A47+8),$E$12:$E$21,1)+1),INDEX($E$12:$E$21,MATCH(($A47+8),$E$12:$E$21,1))+1)-INDEX($E$12:$E$21,MATCH(($A47+8),$E$12:$E$21,1)))=0,1,IFERROR(INDEX($E$12:$E$21,MATCH(($A47+8),$E$12:$E$21,1)+1),INDEX($E$12:$E$21,MATCH(($A47+8),$E$12:$E$21,1))+1)-INDEX($E$12:$E$21,MATCH(($A47+8),$E$12:$E$21,1)))),$F$12) * (($B$9 * (($A47+8)/100)) + (($B$10 * (($A47+8)/100)^2) * $B$12)))</f>
        <v/>
      </c>
      <c r="K47" s="12" t="str">
        <f>IF(($A47+9)&gt;$B$11, "", IFERROR((INDEX($F$12:$F$21,MATCH(($A47+9),$E$12:$E$21,1))+(($A47+9)-INDEX($E$12:$E$21,MATCH(($A47+9),$E$12:$E$21,1)))*(IFERROR(INDEX($F$12:$F$21,MATCH(($A47+9),$E$12:$E$21,1)+1),INDEX($F$12:$F$21,MATCH(($A47+9),$E$12:$E$21,1)))-INDEX($F$12:$F$21,MATCH(($A47+9),$E$12:$E$21,1)))/IF((IFERROR(INDEX($E$12:$E$21,MATCH(($A47+9),$E$12:$E$21,1)+1),INDEX($E$12:$E$21,MATCH(($A47+9),$E$12:$E$21,1))+1)-INDEX($E$12:$E$21,MATCH(($A47+9),$E$12:$E$21,1)))=0,1,IFERROR(INDEX($E$12:$E$21,MATCH(($A47+9),$E$12:$E$21,1)+1),INDEX($E$12:$E$21,MATCH(($A47+9),$E$12:$E$21,1))+1)-INDEX($E$12:$E$21,MATCH(($A47+9),$E$12:$E$21,1)))),$F$12) * (($B$9 * (($A47+9)/100)) + (($B$10 * (($A47+9)/100)^2) * $B$12)))</f>
        <v/>
      </c>
    </row>
    <row r="48">
      <c r="A48" s="11">
        <v>120</v>
      </c>
      <c r="B48" s="12" t="str">
        <f>IF(($A48+0)&gt;$B$11, "", IFERROR((INDEX($F$12:$F$21,MATCH(($A48+0),$E$12:$E$21,1))+(($A48+0)-INDEX($E$12:$E$21,MATCH(($A48+0),$E$12:$E$21,1)))*(IFERROR(INDEX($F$12:$F$21,MATCH(($A48+0),$E$12:$E$21,1)+1),INDEX($F$12:$F$21,MATCH(($A48+0),$E$12:$E$21,1)))-INDEX($F$12:$F$21,MATCH(($A48+0),$E$12:$E$21,1)))/IF((IFERROR(INDEX($E$12:$E$21,MATCH(($A48+0),$E$12:$E$21,1)+1),INDEX($E$12:$E$21,MATCH(($A48+0),$E$12:$E$21,1))+1)-INDEX($E$12:$E$21,MATCH(($A48+0),$E$12:$E$21,1)))=0,1,IFERROR(INDEX($E$12:$E$21,MATCH(($A48+0),$E$12:$E$21,1)+1),INDEX($E$12:$E$21,MATCH(($A48+0),$E$12:$E$21,1))+1)-INDEX($E$12:$E$21,MATCH(($A48+0),$E$12:$E$21,1)))),$F$12) * (($B$9 * (($A48+0)/100)) + (($B$10 * (($A48+0)/100)^2) * $B$12)))</f>
        <v/>
      </c>
      <c r="C48" s="12" t="str">
        <f>IF(($A48+1)&gt;$B$11, "", IFERROR((INDEX($F$12:$F$21,MATCH(($A48+1),$E$12:$E$21,1))+(($A48+1)-INDEX($E$12:$E$21,MATCH(($A48+1),$E$12:$E$21,1)))*(IFERROR(INDEX($F$12:$F$21,MATCH(($A48+1),$E$12:$E$21,1)+1),INDEX($F$12:$F$21,MATCH(($A48+1),$E$12:$E$21,1)))-INDEX($F$12:$F$21,MATCH(($A48+1),$E$12:$E$21,1)))/IF((IFERROR(INDEX($E$12:$E$21,MATCH(($A48+1),$E$12:$E$21,1)+1),INDEX($E$12:$E$21,MATCH(($A48+1),$E$12:$E$21,1))+1)-INDEX($E$12:$E$21,MATCH(($A48+1),$E$12:$E$21,1)))=0,1,IFERROR(INDEX($E$12:$E$21,MATCH(($A48+1),$E$12:$E$21,1)+1),INDEX($E$12:$E$21,MATCH(($A48+1),$E$12:$E$21,1))+1)-INDEX($E$12:$E$21,MATCH(($A48+1),$E$12:$E$21,1)))),$F$12) * (($B$9 * (($A48+1)/100)) + (($B$10 * (($A48+1)/100)^2) * $B$12)))</f>
        <v/>
      </c>
      <c r="D48" s="12" t="str">
        <f>IF(($A48+2)&gt;$B$11, "", IFERROR((INDEX($F$12:$F$21,MATCH(($A48+2),$E$12:$E$21,1))+(($A48+2)-INDEX($E$12:$E$21,MATCH(($A48+2),$E$12:$E$21,1)))*(IFERROR(INDEX($F$12:$F$21,MATCH(($A48+2),$E$12:$E$21,1)+1),INDEX($F$12:$F$21,MATCH(($A48+2),$E$12:$E$21,1)))-INDEX($F$12:$F$21,MATCH(($A48+2),$E$12:$E$21,1)))/IF((IFERROR(INDEX($E$12:$E$21,MATCH(($A48+2),$E$12:$E$21,1)+1),INDEX($E$12:$E$21,MATCH(($A48+2),$E$12:$E$21,1))+1)-INDEX($E$12:$E$21,MATCH(($A48+2),$E$12:$E$21,1)))=0,1,IFERROR(INDEX($E$12:$E$21,MATCH(($A48+2),$E$12:$E$21,1)+1),INDEX($E$12:$E$21,MATCH(($A48+2),$E$12:$E$21,1))+1)-INDEX($E$12:$E$21,MATCH(($A48+2),$E$12:$E$21,1)))),$F$12) * (($B$9 * (($A48+2)/100)) + (($B$10 * (($A48+2)/100)^2) * $B$12)))</f>
        <v/>
      </c>
      <c r="E48" s="12" t="str">
        <f>IF(($A48+3)&gt;$B$11, "", IFERROR((INDEX($F$12:$F$21,MATCH(($A48+3),$E$12:$E$21,1))+(($A48+3)-INDEX($E$12:$E$21,MATCH(($A48+3),$E$12:$E$21,1)))*(IFERROR(INDEX($F$12:$F$21,MATCH(($A48+3),$E$12:$E$21,1)+1),INDEX($F$12:$F$21,MATCH(($A48+3),$E$12:$E$21,1)))-INDEX($F$12:$F$21,MATCH(($A48+3),$E$12:$E$21,1)))/IF((IFERROR(INDEX($E$12:$E$21,MATCH(($A48+3),$E$12:$E$21,1)+1),INDEX($E$12:$E$21,MATCH(($A48+3),$E$12:$E$21,1))+1)-INDEX($E$12:$E$21,MATCH(($A48+3),$E$12:$E$21,1)))=0,1,IFERROR(INDEX($E$12:$E$21,MATCH(($A48+3),$E$12:$E$21,1)+1),INDEX($E$12:$E$21,MATCH(($A48+3),$E$12:$E$21,1))+1)-INDEX($E$12:$E$21,MATCH(($A48+3),$E$12:$E$21,1)))),$F$12) * (($B$9 * (($A48+3)/100)) + (($B$10 * (($A48+3)/100)^2) * $B$12)))</f>
        <v/>
      </c>
      <c r="F48" s="12" t="str">
        <f>IF(($A48+4)&gt;$B$11, "", IFERROR((INDEX($F$12:$F$21,MATCH(($A48+4),$E$12:$E$21,1))+(($A48+4)-INDEX($E$12:$E$21,MATCH(($A48+4),$E$12:$E$21,1)))*(IFERROR(INDEX($F$12:$F$21,MATCH(($A48+4),$E$12:$E$21,1)+1),INDEX($F$12:$F$21,MATCH(($A48+4),$E$12:$E$21,1)))-INDEX($F$12:$F$21,MATCH(($A48+4),$E$12:$E$21,1)))/IF((IFERROR(INDEX($E$12:$E$21,MATCH(($A48+4),$E$12:$E$21,1)+1),INDEX($E$12:$E$21,MATCH(($A48+4),$E$12:$E$21,1))+1)-INDEX($E$12:$E$21,MATCH(($A48+4),$E$12:$E$21,1)))=0,1,IFERROR(INDEX($E$12:$E$21,MATCH(($A48+4),$E$12:$E$21,1)+1),INDEX($E$12:$E$21,MATCH(($A48+4),$E$12:$E$21,1))+1)-INDEX($E$12:$E$21,MATCH(($A48+4),$E$12:$E$21,1)))),$F$12) * (($B$9 * (($A48+4)/100)) + (($B$10 * (($A48+4)/100)^2) * $B$12)))</f>
        <v/>
      </c>
      <c r="G48" s="12" t="str">
        <f>IF(($A48+5)&gt;$B$11, "", IFERROR((INDEX($F$12:$F$21,MATCH(($A48+5),$E$12:$E$21,1))+(($A48+5)-INDEX($E$12:$E$21,MATCH(($A48+5),$E$12:$E$21,1)))*(IFERROR(INDEX($F$12:$F$21,MATCH(($A48+5),$E$12:$E$21,1)+1),INDEX($F$12:$F$21,MATCH(($A48+5),$E$12:$E$21,1)))-INDEX($F$12:$F$21,MATCH(($A48+5),$E$12:$E$21,1)))/IF((IFERROR(INDEX($E$12:$E$21,MATCH(($A48+5),$E$12:$E$21,1)+1),INDEX($E$12:$E$21,MATCH(($A48+5),$E$12:$E$21,1))+1)-INDEX($E$12:$E$21,MATCH(($A48+5),$E$12:$E$21,1)))=0,1,IFERROR(INDEX($E$12:$E$21,MATCH(($A48+5),$E$12:$E$21,1)+1),INDEX($E$12:$E$21,MATCH(($A48+5),$E$12:$E$21,1))+1)-INDEX($E$12:$E$21,MATCH(($A48+5),$E$12:$E$21,1)))),$F$12) * (($B$9 * (($A48+5)/100)) + (($B$10 * (($A48+5)/100)^2) * $B$12)))</f>
        <v/>
      </c>
      <c r="H48" s="12" t="str">
        <f>IF(($A48+6)&gt;$B$11, "", IFERROR((INDEX($F$12:$F$21,MATCH(($A48+6),$E$12:$E$21,1))+(($A48+6)-INDEX($E$12:$E$21,MATCH(($A48+6),$E$12:$E$21,1)))*(IFERROR(INDEX($F$12:$F$21,MATCH(($A48+6),$E$12:$E$21,1)+1),INDEX($F$12:$F$21,MATCH(($A48+6),$E$12:$E$21,1)))-INDEX($F$12:$F$21,MATCH(($A48+6),$E$12:$E$21,1)))/IF((IFERROR(INDEX($E$12:$E$21,MATCH(($A48+6),$E$12:$E$21,1)+1),INDEX($E$12:$E$21,MATCH(($A48+6),$E$12:$E$21,1))+1)-INDEX($E$12:$E$21,MATCH(($A48+6),$E$12:$E$21,1)))=0,1,IFERROR(INDEX($E$12:$E$21,MATCH(($A48+6),$E$12:$E$21,1)+1),INDEX($E$12:$E$21,MATCH(($A48+6),$E$12:$E$21,1))+1)-INDEX($E$12:$E$21,MATCH(($A48+6),$E$12:$E$21,1)))),$F$12) * (($B$9 * (($A48+6)/100)) + (($B$10 * (($A48+6)/100)^2) * $B$12)))</f>
        <v/>
      </c>
      <c r="I48" s="12" t="str">
        <f>IF(($A48+7)&gt;$B$11, "", IFERROR((INDEX($F$12:$F$21,MATCH(($A48+7),$E$12:$E$21,1))+(($A48+7)-INDEX($E$12:$E$21,MATCH(($A48+7),$E$12:$E$21,1)))*(IFERROR(INDEX($F$12:$F$21,MATCH(($A48+7),$E$12:$E$21,1)+1),INDEX($F$12:$F$21,MATCH(($A48+7),$E$12:$E$21,1)))-INDEX($F$12:$F$21,MATCH(($A48+7),$E$12:$E$21,1)))/IF((IFERROR(INDEX($E$12:$E$21,MATCH(($A48+7),$E$12:$E$21,1)+1),INDEX($E$12:$E$21,MATCH(($A48+7),$E$12:$E$21,1))+1)-INDEX($E$12:$E$21,MATCH(($A48+7),$E$12:$E$21,1)))=0,1,IFERROR(INDEX($E$12:$E$21,MATCH(($A48+7),$E$12:$E$21,1)+1),INDEX($E$12:$E$21,MATCH(($A48+7),$E$12:$E$21,1))+1)-INDEX($E$12:$E$21,MATCH(($A48+7),$E$12:$E$21,1)))),$F$12) * (($B$9 * (($A48+7)/100)) + (($B$10 * (($A48+7)/100)^2) * $B$12)))</f>
        <v/>
      </c>
      <c r="J48" s="12" t="str">
        <f>IF(($A48+8)&gt;$B$11, "", IFERROR((INDEX($F$12:$F$21,MATCH(($A48+8),$E$12:$E$21,1))+(($A48+8)-INDEX($E$12:$E$21,MATCH(($A48+8),$E$12:$E$21,1)))*(IFERROR(INDEX($F$12:$F$21,MATCH(($A48+8),$E$12:$E$21,1)+1),INDEX($F$12:$F$21,MATCH(($A48+8),$E$12:$E$21,1)))-INDEX($F$12:$F$21,MATCH(($A48+8),$E$12:$E$21,1)))/IF((IFERROR(INDEX($E$12:$E$21,MATCH(($A48+8),$E$12:$E$21,1)+1),INDEX($E$12:$E$21,MATCH(($A48+8),$E$12:$E$21,1))+1)-INDEX($E$12:$E$21,MATCH(($A48+8),$E$12:$E$21,1)))=0,1,IFERROR(INDEX($E$12:$E$21,MATCH(($A48+8),$E$12:$E$21,1)+1),INDEX($E$12:$E$21,MATCH(($A48+8),$E$12:$E$21,1))+1)-INDEX($E$12:$E$21,MATCH(($A48+8),$E$12:$E$21,1)))),$F$12) * (($B$9 * (($A48+8)/100)) + (($B$10 * (($A48+8)/100)^2) * $B$12)))</f>
        <v/>
      </c>
      <c r="K48" s="12" t="str">
        <f>IF(($A48+9)&gt;$B$11, "", IFERROR((INDEX($F$12:$F$21,MATCH(($A48+9),$E$12:$E$21,1))+(($A48+9)-INDEX($E$12:$E$21,MATCH(($A48+9),$E$12:$E$21,1)))*(IFERROR(INDEX($F$12:$F$21,MATCH(($A48+9),$E$12:$E$21,1)+1),INDEX($F$12:$F$21,MATCH(($A48+9),$E$12:$E$21,1)))-INDEX($F$12:$F$21,MATCH(($A48+9),$E$12:$E$21,1)))/IF((IFERROR(INDEX($E$12:$E$21,MATCH(($A48+9),$E$12:$E$21,1)+1),INDEX($E$12:$E$21,MATCH(($A48+9),$E$12:$E$21,1))+1)-INDEX($E$12:$E$21,MATCH(($A48+9),$E$12:$E$21,1)))=0,1,IFERROR(INDEX($E$12:$E$21,MATCH(($A48+9),$E$12:$E$21,1)+1),INDEX($E$12:$E$21,MATCH(($A48+9),$E$12:$E$21,1))+1)-INDEX($E$12:$E$21,MATCH(($A48+9),$E$12:$E$21,1)))),$F$12) * (($B$9 * (($A48+9)/100)) + (($B$10 * (($A48+9)/100)^2) * $B$12)))</f>
        <v/>
      </c>
    </row>
    <row r="49">
      <c r="A49" s="11">
        <v>130</v>
      </c>
      <c r="B49" s="12" t="str">
        <f>IF(($A49+0)&gt;$B$11, "", IFERROR((INDEX($F$12:$F$21,MATCH(($A49+0),$E$12:$E$21,1))+(($A49+0)-INDEX($E$12:$E$21,MATCH(($A49+0),$E$12:$E$21,1)))*(IFERROR(INDEX($F$12:$F$21,MATCH(($A49+0),$E$12:$E$21,1)+1),INDEX($F$12:$F$21,MATCH(($A49+0),$E$12:$E$21,1)))-INDEX($F$12:$F$21,MATCH(($A49+0),$E$12:$E$21,1)))/IF((IFERROR(INDEX($E$12:$E$21,MATCH(($A49+0),$E$12:$E$21,1)+1),INDEX($E$12:$E$21,MATCH(($A49+0),$E$12:$E$21,1))+1)-INDEX($E$12:$E$21,MATCH(($A49+0),$E$12:$E$21,1)))=0,1,IFERROR(INDEX($E$12:$E$21,MATCH(($A49+0),$E$12:$E$21,1)+1),INDEX($E$12:$E$21,MATCH(($A49+0),$E$12:$E$21,1))+1)-INDEX($E$12:$E$21,MATCH(($A49+0),$E$12:$E$21,1)))),$F$12) * (($B$9 * (($A49+0)/100)) + (($B$10 * (($A49+0)/100)^2) * $B$12)))</f>
        <v/>
      </c>
      <c r="C49" s="12" t="str">
        <f>IF(($A49+1)&gt;$B$11, "", IFERROR((INDEX($F$12:$F$21,MATCH(($A49+1),$E$12:$E$21,1))+(($A49+1)-INDEX($E$12:$E$21,MATCH(($A49+1),$E$12:$E$21,1)))*(IFERROR(INDEX($F$12:$F$21,MATCH(($A49+1),$E$12:$E$21,1)+1),INDEX($F$12:$F$21,MATCH(($A49+1),$E$12:$E$21,1)))-INDEX($F$12:$F$21,MATCH(($A49+1),$E$12:$E$21,1)))/IF((IFERROR(INDEX($E$12:$E$21,MATCH(($A49+1),$E$12:$E$21,1)+1),INDEX($E$12:$E$21,MATCH(($A49+1),$E$12:$E$21,1))+1)-INDEX($E$12:$E$21,MATCH(($A49+1),$E$12:$E$21,1)))=0,1,IFERROR(INDEX($E$12:$E$21,MATCH(($A49+1),$E$12:$E$21,1)+1),INDEX($E$12:$E$21,MATCH(($A49+1),$E$12:$E$21,1))+1)-INDEX($E$12:$E$21,MATCH(($A49+1),$E$12:$E$21,1)))),$F$12) * (($B$9 * (($A49+1)/100)) + (($B$10 * (($A49+1)/100)^2) * $B$12)))</f>
        <v/>
      </c>
      <c r="D49" s="12" t="str">
        <f>IF(($A49+2)&gt;$B$11, "", IFERROR((INDEX($F$12:$F$21,MATCH(($A49+2),$E$12:$E$21,1))+(($A49+2)-INDEX($E$12:$E$21,MATCH(($A49+2),$E$12:$E$21,1)))*(IFERROR(INDEX($F$12:$F$21,MATCH(($A49+2),$E$12:$E$21,1)+1),INDEX($F$12:$F$21,MATCH(($A49+2),$E$12:$E$21,1)))-INDEX($F$12:$F$21,MATCH(($A49+2),$E$12:$E$21,1)))/IF((IFERROR(INDEX($E$12:$E$21,MATCH(($A49+2),$E$12:$E$21,1)+1),INDEX($E$12:$E$21,MATCH(($A49+2),$E$12:$E$21,1))+1)-INDEX($E$12:$E$21,MATCH(($A49+2),$E$12:$E$21,1)))=0,1,IFERROR(INDEX($E$12:$E$21,MATCH(($A49+2),$E$12:$E$21,1)+1),INDEX($E$12:$E$21,MATCH(($A49+2),$E$12:$E$21,1))+1)-INDEX($E$12:$E$21,MATCH(($A49+2),$E$12:$E$21,1)))),$F$12) * (($B$9 * (($A49+2)/100)) + (($B$10 * (($A49+2)/100)^2) * $B$12)))</f>
        <v/>
      </c>
      <c r="E49" s="12" t="str">
        <f>IF(($A49+3)&gt;$B$11, "", IFERROR((INDEX($F$12:$F$21,MATCH(($A49+3),$E$12:$E$21,1))+(($A49+3)-INDEX($E$12:$E$21,MATCH(($A49+3),$E$12:$E$21,1)))*(IFERROR(INDEX($F$12:$F$21,MATCH(($A49+3),$E$12:$E$21,1)+1),INDEX($F$12:$F$21,MATCH(($A49+3),$E$12:$E$21,1)))-INDEX($F$12:$F$21,MATCH(($A49+3),$E$12:$E$21,1)))/IF((IFERROR(INDEX($E$12:$E$21,MATCH(($A49+3),$E$12:$E$21,1)+1),INDEX($E$12:$E$21,MATCH(($A49+3),$E$12:$E$21,1))+1)-INDEX($E$12:$E$21,MATCH(($A49+3),$E$12:$E$21,1)))=0,1,IFERROR(INDEX($E$12:$E$21,MATCH(($A49+3),$E$12:$E$21,1)+1),INDEX($E$12:$E$21,MATCH(($A49+3),$E$12:$E$21,1))+1)-INDEX($E$12:$E$21,MATCH(($A49+3),$E$12:$E$21,1)))),$F$12) * (($B$9 * (($A49+3)/100)) + (($B$10 * (($A49+3)/100)^2) * $B$12)))</f>
        <v/>
      </c>
      <c r="F49" s="12" t="str">
        <f>IF(($A49+4)&gt;$B$11, "", IFERROR((INDEX($F$12:$F$21,MATCH(($A49+4),$E$12:$E$21,1))+(($A49+4)-INDEX($E$12:$E$21,MATCH(($A49+4),$E$12:$E$21,1)))*(IFERROR(INDEX($F$12:$F$21,MATCH(($A49+4),$E$12:$E$21,1)+1),INDEX($F$12:$F$21,MATCH(($A49+4),$E$12:$E$21,1)))-INDEX($F$12:$F$21,MATCH(($A49+4),$E$12:$E$21,1)))/IF((IFERROR(INDEX($E$12:$E$21,MATCH(($A49+4),$E$12:$E$21,1)+1),INDEX($E$12:$E$21,MATCH(($A49+4),$E$12:$E$21,1))+1)-INDEX($E$12:$E$21,MATCH(($A49+4),$E$12:$E$21,1)))=0,1,IFERROR(INDEX($E$12:$E$21,MATCH(($A49+4),$E$12:$E$21,1)+1),INDEX($E$12:$E$21,MATCH(($A49+4),$E$12:$E$21,1))+1)-INDEX($E$12:$E$21,MATCH(($A49+4),$E$12:$E$21,1)))),$F$12) * (($B$9 * (($A49+4)/100)) + (($B$10 * (($A49+4)/100)^2) * $B$12)))</f>
        <v/>
      </c>
      <c r="G49" s="12" t="str">
        <f>IF(($A49+5)&gt;$B$11, "", IFERROR((INDEX($F$12:$F$21,MATCH(($A49+5),$E$12:$E$21,1))+(($A49+5)-INDEX($E$12:$E$21,MATCH(($A49+5),$E$12:$E$21,1)))*(IFERROR(INDEX($F$12:$F$21,MATCH(($A49+5),$E$12:$E$21,1)+1),INDEX($F$12:$F$21,MATCH(($A49+5),$E$12:$E$21,1)))-INDEX($F$12:$F$21,MATCH(($A49+5),$E$12:$E$21,1)))/IF((IFERROR(INDEX($E$12:$E$21,MATCH(($A49+5),$E$12:$E$21,1)+1),INDEX($E$12:$E$21,MATCH(($A49+5),$E$12:$E$21,1))+1)-INDEX($E$12:$E$21,MATCH(($A49+5),$E$12:$E$21,1)))=0,1,IFERROR(INDEX($E$12:$E$21,MATCH(($A49+5),$E$12:$E$21,1)+1),INDEX($E$12:$E$21,MATCH(($A49+5),$E$12:$E$21,1))+1)-INDEX($E$12:$E$21,MATCH(($A49+5),$E$12:$E$21,1)))),$F$12) * (($B$9 * (($A49+5)/100)) + (($B$10 * (($A49+5)/100)^2) * $B$12)))</f>
        <v/>
      </c>
      <c r="H49" s="12" t="str">
        <f>IF(($A49+6)&gt;$B$11, "", IFERROR((INDEX($F$12:$F$21,MATCH(($A49+6),$E$12:$E$21,1))+(($A49+6)-INDEX($E$12:$E$21,MATCH(($A49+6),$E$12:$E$21,1)))*(IFERROR(INDEX($F$12:$F$21,MATCH(($A49+6),$E$12:$E$21,1)+1),INDEX($F$12:$F$21,MATCH(($A49+6),$E$12:$E$21,1)))-INDEX($F$12:$F$21,MATCH(($A49+6),$E$12:$E$21,1)))/IF((IFERROR(INDEX($E$12:$E$21,MATCH(($A49+6),$E$12:$E$21,1)+1),INDEX($E$12:$E$21,MATCH(($A49+6),$E$12:$E$21,1))+1)-INDEX($E$12:$E$21,MATCH(($A49+6),$E$12:$E$21,1)))=0,1,IFERROR(INDEX($E$12:$E$21,MATCH(($A49+6),$E$12:$E$21,1)+1),INDEX($E$12:$E$21,MATCH(($A49+6),$E$12:$E$21,1))+1)-INDEX($E$12:$E$21,MATCH(($A49+6),$E$12:$E$21,1)))),$F$12) * (($B$9 * (($A49+6)/100)) + (($B$10 * (($A49+6)/100)^2) * $B$12)))</f>
        <v/>
      </c>
      <c r="I49" s="12" t="str">
        <f>IF(($A49+7)&gt;$B$11, "", IFERROR((INDEX($F$12:$F$21,MATCH(($A49+7),$E$12:$E$21,1))+(($A49+7)-INDEX($E$12:$E$21,MATCH(($A49+7),$E$12:$E$21,1)))*(IFERROR(INDEX($F$12:$F$21,MATCH(($A49+7),$E$12:$E$21,1)+1),INDEX($F$12:$F$21,MATCH(($A49+7),$E$12:$E$21,1)))-INDEX($F$12:$F$21,MATCH(($A49+7),$E$12:$E$21,1)))/IF((IFERROR(INDEX($E$12:$E$21,MATCH(($A49+7),$E$12:$E$21,1)+1),INDEX($E$12:$E$21,MATCH(($A49+7),$E$12:$E$21,1))+1)-INDEX($E$12:$E$21,MATCH(($A49+7),$E$12:$E$21,1)))=0,1,IFERROR(INDEX($E$12:$E$21,MATCH(($A49+7),$E$12:$E$21,1)+1),INDEX($E$12:$E$21,MATCH(($A49+7),$E$12:$E$21,1))+1)-INDEX($E$12:$E$21,MATCH(($A49+7),$E$12:$E$21,1)))),$F$12) * (($B$9 * (($A49+7)/100)) + (($B$10 * (($A49+7)/100)^2) * $B$12)))</f>
        <v/>
      </c>
      <c r="J49" s="12" t="str">
        <f>IF(($A49+8)&gt;$B$11, "", IFERROR((INDEX($F$12:$F$21,MATCH(($A49+8),$E$12:$E$21,1))+(($A49+8)-INDEX($E$12:$E$21,MATCH(($A49+8),$E$12:$E$21,1)))*(IFERROR(INDEX($F$12:$F$21,MATCH(($A49+8),$E$12:$E$21,1)+1),INDEX($F$12:$F$21,MATCH(($A49+8),$E$12:$E$21,1)))-INDEX($F$12:$F$21,MATCH(($A49+8),$E$12:$E$21,1)))/IF((IFERROR(INDEX($E$12:$E$21,MATCH(($A49+8),$E$12:$E$21,1)+1),INDEX($E$12:$E$21,MATCH(($A49+8),$E$12:$E$21,1))+1)-INDEX($E$12:$E$21,MATCH(($A49+8),$E$12:$E$21,1)))=0,1,IFERROR(INDEX($E$12:$E$21,MATCH(($A49+8),$E$12:$E$21,1)+1),INDEX($E$12:$E$21,MATCH(($A49+8),$E$12:$E$21,1))+1)-INDEX($E$12:$E$21,MATCH(($A49+8),$E$12:$E$21,1)))),$F$12) * (($B$9 * (($A49+8)/100)) + (($B$10 * (($A49+8)/100)^2) * $B$12)))</f>
        <v/>
      </c>
      <c r="K49" s="12" t="str">
        <f>IF(($A49+9)&gt;$B$11, "", IFERROR((INDEX($F$12:$F$21,MATCH(($A49+9),$E$12:$E$21,1))+(($A49+9)-INDEX($E$12:$E$21,MATCH(($A49+9),$E$12:$E$21,1)))*(IFERROR(INDEX($F$12:$F$21,MATCH(($A49+9),$E$12:$E$21,1)+1),INDEX($F$12:$F$21,MATCH(($A49+9),$E$12:$E$21,1)))-INDEX($F$12:$F$21,MATCH(($A49+9),$E$12:$E$21,1)))/IF((IFERROR(INDEX($E$12:$E$21,MATCH(($A49+9),$E$12:$E$21,1)+1),INDEX($E$12:$E$21,MATCH(($A49+9),$E$12:$E$21,1))+1)-INDEX($E$12:$E$21,MATCH(($A49+9),$E$12:$E$21,1)))=0,1,IFERROR(INDEX($E$12:$E$21,MATCH(($A49+9),$E$12:$E$21,1)+1),INDEX($E$12:$E$21,MATCH(($A49+9),$E$12:$E$21,1))+1)-INDEX($E$12:$E$21,MATCH(($A49+9),$E$12:$E$21,1)))),$F$12) * (($B$9 * (($A49+9)/100)) + (($B$10 * (($A49+9)/100)^2) * $B$12)))</f>
        <v/>
      </c>
    </row>
    <row r="50">
      <c r="A50" s="11">
        <v>140</v>
      </c>
      <c r="B50" s="12" t="str">
        <f>IF(($A50+0)&gt;$B$11, "", IFERROR((INDEX($F$12:$F$21,MATCH(($A50+0),$E$12:$E$21,1))+(($A50+0)-INDEX($E$12:$E$21,MATCH(($A50+0),$E$12:$E$21,1)))*(IFERROR(INDEX($F$12:$F$21,MATCH(($A50+0),$E$12:$E$21,1)+1),INDEX($F$12:$F$21,MATCH(($A50+0),$E$12:$E$21,1)))-INDEX($F$12:$F$21,MATCH(($A50+0),$E$12:$E$21,1)))/IF((IFERROR(INDEX($E$12:$E$21,MATCH(($A50+0),$E$12:$E$21,1)+1),INDEX($E$12:$E$21,MATCH(($A50+0),$E$12:$E$21,1))+1)-INDEX($E$12:$E$21,MATCH(($A50+0),$E$12:$E$21,1)))=0,1,IFERROR(INDEX($E$12:$E$21,MATCH(($A50+0),$E$12:$E$21,1)+1),INDEX($E$12:$E$21,MATCH(($A50+0),$E$12:$E$21,1))+1)-INDEX($E$12:$E$21,MATCH(($A50+0),$E$12:$E$21,1)))),$F$12) * (($B$9 * (($A50+0)/100)) + (($B$10 * (($A50+0)/100)^2) * $B$12)))</f>
        <v/>
      </c>
      <c r="C50" s="12" t="str">
        <f>IF(($A50+1)&gt;$B$11, "", IFERROR((INDEX($F$12:$F$21,MATCH(($A50+1),$E$12:$E$21,1))+(($A50+1)-INDEX($E$12:$E$21,MATCH(($A50+1),$E$12:$E$21,1)))*(IFERROR(INDEX($F$12:$F$21,MATCH(($A50+1),$E$12:$E$21,1)+1),INDEX($F$12:$F$21,MATCH(($A50+1),$E$12:$E$21,1)))-INDEX($F$12:$F$21,MATCH(($A50+1),$E$12:$E$21,1)))/IF((IFERROR(INDEX($E$12:$E$21,MATCH(($A50+1),$E$12:$E$21,1)+1),INDEX($E$12:$E$21,MATCH(($A50+1),$E$12:$E$21,1))+1)-INDEX($E$12:$E$21,MATCH(($A50+1),$E$12:$E$21,1)))=0,1,IFERROR(INDEX($E$12:$E$21,MATCH(($A50+1),$E$12:$E$21,1)+1),INDEX($E$12:$E$21,MATCH(($A50+1),$E$12:$E$21,1))+1)-INDEX($E$12:$E$21,MATCH(($A50+1),$E$12:$E$21,1)))),$F$12) * (($B$9 * (($A50+1)/100)) + (($B$10 * (($A50+1)/100)^2) * $B$12)))</f>
        <v/>
      </c>
      <c r="D50" s="12" t="str">
        <f>IF(($A50+2)&gt;$B$11, "", IFERROR((INDEX($F$12:$F$21,MATCH(($A50+2),$E$12:$E$21,1))+(($A50+2)-INDEX($E$12:$E$21,MATCH(($A50+2),$E$12:$E$21,1)))*(IFERROR(INDEX($F$12:$F$21,MATCH(($A50+2),$E$12:$E$21,1)+1),INDEX($F$12:$F$21,MATCH(($A50+2),$E$12:$E$21,1)))-INDEX($F$12:$F$21,MATCH(($A50+2),$E$12:$E$21,1)))/IF((IFERROR(INDEX($E$12:$E$21,MATCH(($A50+2),$E$12:$E$21,1)+1),INDEX($E$12:$E$21,MATCH(($A50+2),$E$12:$E$21,1))+1)-INDEX($E$12:$E$21,MATCH(($A50+2),$E$12:$E$21,1)))=0,1,IFERROR(INDEX($E$12:$E$21,MATCH(($A50+2),$E$12:$E$21,1)+1),INDEX($E$12:$E$21,MATCH(($A50+2),$E$12:$E$21,1))+1)-INDEX($E$12:$E$21,MATCH(($A50+2),$E$12:$E$21,1)))),$F$12) * (($B$9 * (($A50+2)/100)) + (($B$10 * (($A50+2)/100)^2) * $B$12)))</f>
        <v/>
      </c>
      <c r="E50" s="12" t="str">
        <f>IF(($A50+3)&gt;$B$11, "", IFERROR((INDEX($F$12:$F$21,MATCH(($A50+3),$E$12:$E$21,1))+(($A50+3)-INDEX($E$12:$E$21,MATCH(($A50+3),$E$12:$E$21,1)))*(IFERROR(INDEX($F$12:$F$21,MATCH(($A50+3),$E$12:$E$21,1)+1),INDEX($F$12:$F$21,MATCH(($A50+3),$E$12:$E$21,1)))-INDEX($F$12:$F$21,MATCH(($A50+3),$E$12:$E$21,1)))/IF((IFERROR(INDEX($E$12:$E$21,MATCH(($A50+3),$E$12:$E$21,1)+1),INDEX($E$12:$E$21,MATCH(($A50+3),$E$12:$E$21,1))+1)-INDEX($E$12:$E$21,MATCH(($A50+3),$E$12:$E$21,1)))=0,1,IFERROR(INDEX($E$12:$E$21,MATCH(($A50+3),$E$12:$E$21,1)+1),INDEX($E$12:$E$21,MATCH(($A50+3),$E$12:$E$21,1))+1)-INDEX($E$12:$E$21,MATCH(($A50+3),$E$12:$E$21,1)))),$F$12) * (($B$9 * (($A50+3)/100)) + (($B$10 * (($A50+3)/100)^2) * $B$12)))</f>
        <v/>
      </c>
      <c r="F50" s="12" t="str">
        <f>IF(($A50+4)&gt;$B$11, "", IFERROR((INDEX($F$12:$F$21,MATCH(($A50+4),$E$12:$E$21,1))+(($A50+4)-INDEX($E$12:$E$21,MATCH(($A50+4),$E$12:$E$21,1)))*(IFERROR(INDEX($F$12:$F$21,MATCH(($A50+4),$E$12:$E$21,1)+1),INDEX($F$12:$F$21,MATCH(($A50+4),$E$12:$E$21,1)))-INDEX($F$12:$F$21,MATCH(($A50+4),$E$12:$E$21,1)))/IF((IFERROR(INDEX($E$12:$E$21,MATCH(($A50+4),$E$12:$E$21,1)+1),INDEX($E$12:$E$21,MATCH(($A50+4),$E$12:$E$21,1))+1)-INDEX($E$12:$E$21,MATCH(($A50+4),$E$12:$E$21,1)))=0,1,IFERROR(INDEX($E$12:$E$21,MATCH(($A50+4),$E$12:$E$21,1)+1),INDEX($E$12:$E$21,MATCH(($A50+4),$E$12:$E$21,1))+1)-INDEX($E$12:$E$21,MATCH(($A50+4),$E$12:$E$21,1)))),$F$12) * (($B$9 * (($A50+4)/100)) + (($B$10 * (($A50+4)/100)^2) * $B$12)))</f>
        <v/>
      </c>
      <c r="G50" s="12" t="str">
        <f>IF(($A50+5)&gt;$B$11, "", IFERROR((INDEX($F$12:$F$21,MATCH(($A50+5),$E$12:$E$21,1))+(($A50+5)-INDEX($E$12:$E$21,MATCH(($A50+5),$E$12:$E$21,1)))*(IFERROR(INDEX($F$12:$F$21,MATCH(($A50+5),$E$12:$E$21,1)+1),INDEX($F$12:$F$21,MATCH(($A50+5),$E$12:$E$21,1)))-INDEX($F$12:$F$21,MATCH(($A50+5),$E$12:$E$21,1)))/IF((IFERROR(INDEX($E$12:$E$21,MATCH(($A50+5),$E$12:$E$21,1)+1),INDEX($E$12:$E$21,MATCH(($A50+5),$E$12:$E$21,1))+1)-INDEX($E$12:$E$21,MATCH(($A50+5),$E$12:$E$21,1)))=0,1,IFERROR(INDEX($E$12:$E$21,MATCH(($A50+5),$E$12:$E$21,1)+1),INDEX($E$12:$E$21,MATCH(($A50+5),$E$12:$E$21,1))+1)-INDEX($E$12:$E$21,MATCH(($A50+5),$E$12:$E$21,1)))),$F$12) * (($B$9 * (($A50+5)/100)) + (($B$10 * (($A50+5)/100)^2) * $B$12)))</f>
        <v/>
      </c>
      <c r="H50" s="12" t="str">
        <f>IF(($A50+6)&gt;$B$11, "", IFERROR((INDEX($F$12:$F$21,MATCH(($A50+6),$E$12:$E$21,1))+(($A50+6)-INDEX($E$12:$E$21,MATCH(($A50+6),$E$12:$E$21,1)))*(IFERROR(INDEX($F$12:$F$21,MATCH(($A50+6),$E$12:$E$21,1)+1),INDEX($F$12:$F$21,MATCH(($A50+6),$E$12:$E$21,1)))-INDEX($F$12:$F$21,MATCH(($A50+6),$E$12:$E$21,1)))/IF((IFERROR(INDEX($E$12:$E$21,MATCH(($A50+6),$E$12:$E$21,1)+1),INDEX($E$12:$E$21,MATCH(($A50+6),$E$12:$E$21,1))+1)-INDEX($E$12:$E$21,MATCH(($A50+6),$E$12:$E$21,1)))=0,1,IFERROR(INDEX($E$12:$E$21,MATCH(($A50+6),$E$12:$E$21,1)+1),INDEX($E$12:$E$21,MATCH(($A50+6),$E$12:$E$21,1))+1)-INDEX($E$12:$E$21,MATCH(($A50+6),$E$12:$E$21,1)))),$F$12) * (($B$9 * (($A50+6)/100)) + (($B$10 * (($A50+6)/100)^2) * $B$12)))</f>
        <v/>
      </c>
      <c r="I50" s="12" t="str">
        <f>IF(($A50+7)&gt;$B$11, "", IFERROR((INDEX($F$12:$F$21,MATCH(($A50+7),$E$12:$E$21,1))+(($A50+7)-INDEX($E$12:$E$21,MATCH(($A50+7),$E$12:$E$21,1)))*(IFERROR(INDEX($F$12:$F$21,MATCH(($A50+7),$E$12:$E$21,1)+1),INDEX($F$12:$F$21,MATCH(($A50+7),$E$12:$E$21,1)))-INDEX($F$12:$F$21,MATCH(($A50+7),$E$12:$E$21,1)))/IF((IFERROR(INDEX($E$12:$E$21,MATCH(($A50+7),$E$12:$E$21,1)+1),INDEX($E$12:$E$21,MATCH(($A50+7),$E$12:$E$21,1))+1)-INDEX($E$12:$E$21,MATCH(($A50+7),$E$12:$E$21,1)))=0,1,IFERROR(INDEX($E$12:$E$21,MATCH(($A50+7),$E$12:$E$21,1)+1),INDEX($E$12:$E$21,MATCH(($A50+7),$E$12:$E$21,1))+1)-INDEX($E$12:$E$21,MATCH(($A50+7),$E$12:$E$21,1)))),$F$12) * (($B$9 * (($A50+7)/100)) + (($B$10 * (($A50+7)/100)^2) * $B$12)))</f>
        <v/>
      </c>
      <c r="J50" s="12" t="str">
        <f>IF(($A50+8)&gt;$B$11, "", IFERROR((INDEX($F$12:$F$21,MATCH(($A50+8),$E$12:$E$21,1))+(($A50+8)-INDEX($E$12:$E$21,MATCH(($A50+8),$E$12:$E$21,1)))*(IFERROR(INDEX($F$12:$F$21,MATCH(($A50+8),$E$12:$E$21,1)+1),INDEX($F$12:$F$21,MATCH(($A50+8),$E$12:$E$21,1)))-INDEX($F$12:$F$21,MATCH(($A50+8),$E$12:$E$21,1)))/IF((IFERROR(INDEX($E$12:$E$21,MATCH(($A50+8),$E$12:$E$21,1)+1),INDEX($E$12:$E$21,MATCH(($A50+8),$E$12:$E$21,1))+1)-INDEX($E$12:$E$21,MATCH(($A50+8),$E$12:$E$21,1)))=0,1,IFERROR(INDEX($E$12:$E$21,MATCH(($A50+8),$E$12:$E$21,1)+1),INDEX($E$12:$E$21,MATCH(($A50+8),$E$12:$E$21,1))+1)-INDEX($E$12:$E$21,MATCH(($A50+8),$E$12:$E$21,1)))),$F$12) * (($B$9 * (($A50+8)/100)) + (($B$10 * (($A50+8)/100)^2) * $B$12)))</f>
        <v/>
      </c>
      <c r="K50" s="12" t="str">
        <f>IF(($A50+9)&gt;$B$11, "", IFERROR((INDEX($F$12:$F$21,MATCH(($A50+9),$E$12:$E$21,1))+(($A50+9)-INDEX($E$12:$E$21,MATCH(($A50+9),$E$12:$E$21,1)))*(IFERROR(INDEX($F$12:$F$21,MATCH(($A50+9),$E$12:$E$21,1)+1),INDEX($F$12:$F$21,MATCH(($A50+9),$E$12:$E$21,1)))-INDEX($F$12:$F$21,MATCH(($A50+9),$E$12:$E$21,1)))/IF((IFERROR(INDEX($E$12:$E$21,MATCH(($A50+9),$E$12:$E$21,1)+1),INDEX($E$12:$E$21,MATCH(($A50+9),$E$12:$E$21,1))+1)-INDEX($E$12:$E$21,MATCH(($A50+9),$E$12:$E$21,1)))=0,1,IFERROR(INDEX($E$12:$E$21,MATCH(($A50+9),$E$12:$E$21,1)+1),INDEX($E$12:$E$21,MATCH(($A50+9),$E$12:$E$21,1))+1)-INDEX($E$12:$E$21,MATCH(($A50+9),$E$12:$E$21,1)))),$F$12) * (($B$9 * (($A50+9)/100)) + (($B$10 * (($A50+9)/100)^2) * $B$12)))</f>
        <v/>
      </c>
    </row>
    <row r="51">
      <c r="A51" s="11">
        <v>150</v>
      </c>
      <c r="B51" s="12" t="str">
        <f>IF(($A51+0)&gt;$B$11, "", IFERROR((INDEX($F$12:$F$21,MATCH(($A51+0),$E$12:$E$21,1))+(($A51+0)-INDEX($E$12:$E$21,MATCH(($A51+0),$E$12:$E$21,1)))*(IFERROR(INDEX($F$12:$F$21,MATCH(($A51+0),$E$12:$E$21,1)+1),INDEX($F$12:$F$21,MATCH(($A51+0),$E$12:$E$21,1)))-INDEX($F$12:$F$21,MATCH(($A51+0),$E$12:$E$21,1)))/IF((IFERROR(INDEX($E$12:$E$21,MATCH(($A51+0),$E$12:$E$21,1)+1),INDEX($E$12:$E$21,MATCH(($A51+0),$E$12:$E$21,1))+1)-INDEX($E$12:$E$21,MATCH(($A51+0),$E$12:$E$21,1)))=0,1,IFERROR(INDEX($E$12:$E$21,MATCH(($A51+0),$E$12:$E$21,1)+1),INDEX($E$12:$E$21,MATCH(($A51+0),$E$12:$E$21,1))+1)-INDEX($E$12:$E$21,MATCH(($A51+0),$E$12:$E$21,1)))),$F$12) * (($B$9 * (($A51+0)/100)) + (($B$10 * (($A51+0)/100)^2) * $B$12)))</f>
        <v/>
      </c>
      <c r="C51" s="12" t="str">
        <f>IF(($A51+1)&gt;$B$11, "", IFERROR((INDEX($F$12:$F$21,MATCH(($A51+1),$E$12:$E$21,1))+(($A51+1)-INDEX($E$12:$E$21,MATCH(($A51+1),$E$12:$E$21,1)))*(IFERROR(INDEX($F$12:$F$21,MATCH(($A51+1),$E$12:$E$21,1)+1),INDEX($F$12:$F$21,MATCH(($A51+1),$E$12:$E$21,1)))-INDEX($F$12:$F$21,MATCH(($A51+1),$E$12:$E$21,1)))/IF((IFERROR(INDEX($E$12:$E$21,MATCH(($A51+1),$E$12:$E$21,1)+1),INDEX($E$12:$E$21,MATCH(($A51+1),$E$12:$E$21,1))+1)-INDEX($E$12:$E$21,MATCH(($A51+1),$E$12:$E$21,1)))=0,1,IFERROR(INDEX($E$12:$E$21,MATCH(($A51+1),$E$12:$E$21,1)+1),INDEX($E$12:$E$21,MATCH(($A51+1),$E$12:$E$21,1))+1)-INDEX($E$12:$E$21,MATCH(($A51+1),$E$12:$E$21,1)))),$F$12) * (($B$9 * (($A51+1)/100)) + (($B$10 * (($A51+1)/100)^2) * $B$12)))</f>
        <v/>
      </c>
      <c r="D51" s="12" t="str">
        <f>IF(($A51+2)&gt;$B$11, "", IFERROR((INDEX($F$12:$F$21,MATCH(($A51+2),$E$12:$E$21,1))+(($A51+2)-INDEX($E$12:$E$21,MATCH(($A51+2),$E$12:$E$21,1)))*(IFERROR(INDEX($F$12:$F$21,MATCH(($A51+2),$E$12:$E$21,1)+1),INDEX($F$12:$F$21,MATCH(($A51+2),$E$12:$E$21,1)))-INDEX($F$12:$F$21,MATCH(($A51+2),$E$12:$E$21,1)))/IF((IFERROR(INDEX($E$12:$E$21,MATCH(($A51+2),$E$12:$E$21,1)+1),INDEX($E$12:$E$21,MATCH(($A51+2),$E$12:$E$21,1))+1)-INDEX($E$12:$E$21,MATCH(($A51+2),$E$12:$E$21,1)))=0,1,IFERROR(INDEX($E$12:$E$21,MATCH(($A51+2),$E$12:$E$21,1)+1),INDEX($E$12:$E$21,MATCH(($A51+2),$E$12:$E$21,1))+1)-INDEX($E$12:$E$21,MATCH(($A51+2),$E$12:$E$21,1)))),$F$12) * (($B$9 * (($A51+2)/100)) + (($B$10 * (($A51+2)/100)^2) * $B$12)))</f>
        <v/>
      </c>
      <c r="E51" s="12" t="str">
        <f>IF(($A51+3)&gt;$B$11, "", IFERROR((INDEX($F$12:$F$21,MATCH(($A51+3),$E$12:$E$21,1))+(($A51+3)-INDEX($E$12:$E$21,MATCH(($A51+3),$E$12:$E$21,1)))*(IFERROR(INDEX($F$12:$F$21,MATCH(($A51+3),$E$12:$E$21,1)+1),INDEX($F$12:$F$21,MATCH(($A51+3),$E$12:$E$21,1)))-INDEX($F$12:$F$21,MATCH(($A51+3),$E$12:$E$21,1)))/IF((IFERROR(INDEX($E$12:$E$21,MATCH(($A51+3),$E$12:$E$21,1)+1),INDEX($E$12:$E$21,MATCH(($A51+3),$E$12:$E$21,1))+1)-INDEX($E$12:$E$21,MATCH(($A51+3),$E$12:$E$21,1)))=0,1,IFERROR(INDEX($E$12:$E$21,MATCH(($A51+3),$E$12:$E$21,1)+1),INDEX($E$12:$E$21,MATCH(($A51+3),$E$12:$E$21,1))+1)-INDEX($E$12:$E$21,MATCH(($A51+3),$E$12:$E$21,1)))),$F$12) * (($B$9 * (($A51+3)/100)) + (($B$10 * (($A51+3)/100)^2) * $B$12)))</f>
        <v/>
      </c>
      <c r="F51" s="12" t="str">
        <f>IF(($A51+4)&gt;$B$11, "", IFERROR((INDEX($F$12:$F$21,MATCH(($A51+4),$E$12:$E$21,1))+(($A51+4)-INDEX($E$12:$E$21,MATCH(($A51+4),$E$12:$E$21,1)))*(IFERROR(INDEX($F$12:$F$21,MATCH(($A51+4),$E$12:$E$21,1)+1),INDEX($F$12:$F$21,MATCH(($A51+4),$E$12:$E$21,1)))-INDEX($F$12:$F$21,MATCH(($A51+4),$E$12:$E$21,1)))/IF((IFERROR(INDEX($E$12:$E$21,MATCH(($A51+4),$E$12:$E$21,1)+1),INDEX($E$12:$E$21,MATCH(($A51+4),$E$12:$E$21,1))+1)-INDEX($E$12:$E$21,MATCH(($A51+4),$E$12:$E$21,1)))=0,1,IFERROR(INDEX($E$12:$E$21,MATCH(($A51+4),$E$12:$E$21,1)+1),INDEX($E$12:$E$21,MATCH(($A51+4),$E$12:$E$21,1))+1)-INDEX($E$12:$E$21,MATCH(($A51+4),$E$12:$E$21,1)))),$F$12) * (($B$9 * (($A51+4)/100)) + (($B$10 * (($A51+4)/100)^2) * $B$12)))</f>
        <v/>
      </c>
      <c r="G51" s="12" t="str">
        <f>IF(($A51+5)&gt;$B$11, "", IFERROR((INDEX($F$12:$F$21,MATCH(($A51+5),$E$12:$E$21,1))+(($A51+5)-INDEX($E$12:$E$21,MATCH(($A51+5),$E$12:$E$21,1)))*(IFERROR(INDEX($F$12:$F$21,MATCH(($A51+5),$E$12:$E$21,1)+1),INDEX($F$12:$F$21,MATCH(($A51+5),$E$12:$E$21,1)))-INDEX($F$12:$F$21,MATCH(($A51+5),$E$12:$E$21,1)))/IF((IFERROR(INDEX($E$12:$E$21,MATCH(($A51+5),$E$12:$E$21,1)+1),INDEX($E$12:$E$21,MATCH(($A51+5),$E$12:$E$21,1))+1)-INDEX($E$12:$E$21,MATCH(($A51+5),$E$12:$E$21,1)))=0,1,IFERROR(INDEX($E$12:$E$21,MATCH(($A51+5),$E$12:$E$21,1)+1),INDEX($E$12:$E$21,MATCH(($A51+5),$E$12:$E$21,1))+1)-INDEX($E$12:$E$21,MATCH(($A51+5),$E$12:$E$21,1)))),$F$12) * (($B$9 * (($A51+5)/100)) + (($B$10 * (($A51+5)/100)^2) * $B$12)))</f>
        <v/>
      </c>
      <c r="H51" s="12" t="str">
        <f>IF(($A51+6)&gt;$B$11, "", IFERROR((INDEX($F$12:$F$21,MATCH(($A51+6),$E$12:$E$21,1))+(($A51+6)-INDEX($E$12:$E$21,MATCH(($A51+6),$E$12:$E$21,1)))*(IFERROR(INDEX($F$12:$F$21,MATCH(($A51+6),$E$12:$E$21,1)+1),INDEX($F$12:$F$21,MATCH(($A51+6),$E$12:$E$21,1)))-INDEX($F$12:$F$21,MATCH(($A51+6),$E$12:$E$21,1)))/IF((IFERROR(INDEX($E$12:$E$21,MATCH(($A51+6),$E$12:$E$21,1)+1),INDEX($E$12:$E$21,MATCH(($A51+6),$E$12:$E$21,1))+1)-INDEX($E$12:$E$21,MATCH(($A51+6),$E$12:$E$21,1)))=0,1,IFERROR(INDEX($E$12:$E$21,MATCH(($A51+6),$E$12:$E$21,1)+1),INDEX($E$12:$E$21,MATCH(($A51+6),$E$12:$E$21,1))+1)-INDEX($E$12:$E$21,MATCH(($A51+6),$E$12:$E$21,1)))),$F$12) * (($B$9 * (($A51+6)/100)) + (($B$10 * (($A51+6)/100)^2) * $B$12)))</f>
        <v/>
      </c>
      <c r="I51" s="12" t="str">
        <f>IF(($A51+7)&gt;$B$11, "", IFERROR((INDEX($F$12:$F$21,MATCH(($A51+7),$E$12:$E$21,1))+(($A51+7)-INDEX($E$12:$E$21,MATCH(($A51+7),$E$12:$E$21,1)))*(IFERROR(INDEX($F$12:$F$21,MATCH(($A51+7),$E$12:$E$21,1)+1),INDEX($F$12:$F$21,MATCH(($A51+7),$E$12:$E$21,1)))-INDEX($F$12:$F$21,MATCH(($A51+7),$E$12:$E$21,1)))/IF((IFERROR(INDEX($E$12:$E$21,MATCH(($A51+7),$E$12:$E$21,1)+1),INDEX($E$12:$E$21,MATCH(($A51+7),$E$12:$E$21,1))+1)-INDEX($E$12:$E$21,MATCH(($A51+7),$E$12:$E$21,1)))=0,1,IFERROR(INDEX($E$12:$E$21,MATCH(($A51+7),$E$12:$E$21,1)+1),INDEX($E$12:$E$21,MATCH(($A51+7),$E$12:$E$21,1))+1)-INDEX($E$12:$E$21,MATCH(($A51+7),$E$12:$E$21,1)))),$F$12) * (($B$9 * (($A51+7)/100)) + (($B$10 * (($A51+7)/100)^2) * $B$12)))</f>
        <v/>
      </c>
      <c r="J51" s="12" t="str">
        <f>IF(($A51+8)&gt;$B$11, "", IFERROR((INDEX($F$12:$F$21,MATCH(($A51+8),$E$12:$E$21,1))+(($A51+8)-INDEX($E$12:$E$21,MATCH(($A51+8),$E$12:$E$21,1)))*(IFERROR(INDEX($F$12:$F$21,MATCH(($A51+8),$E$12:$E$21,1)+1),INDEX($F$12:$F$21,MATCH(($A51+8),$E$12:$E$21,1)))-INDEX($F$12:$F$21,MATCH(($A51+8),$E$12:$E$21,1)))/IF((IFERROR(INDEX($E$12:$E$21,MATCH(($A51+8),$E$12:$E$21,1)+1),INDEX($E$12:$E$21,MATCH(($A51+8),$E$12:$E$21,1))+1)-INDEX($E$12:$E$21,MATCH(($A51+8),$E$12:$E$21,1)))=0,1,IFERROR(INDEX($E$12:$E$21,MATCH(($A51+8),$E$12:$E$21,1)+1),INDEX($E$12:$E$21,MATCH(($A51+8),$E$12:$E$21,1))+1)-INDEX($E$12:$E$21,MATCH(($A51+8),$E$12:$E$21,1)))),$F$12) * (($B$9 * (($A51+8)/100)) + (($B$10 * (($A51+8)/100)^2) * $B$12)))</f>
        <v/>
      </c>
      <c r="K51" s="12" t="str">
        <f>IF(($A51+9)&gt;$B$11, "", IFERROR((INDEX($F$12:$F$21,MATCH(($A51+9),$E$12:$E$21,1))+(($A51+9)-INDEX($E$12:$E$21,MATCH(($A51+9),$E$12:$E$21,1)))*(IFERROR(INDEX($F$12:$F$21,MATCH(($A51+9),$E$12:$E$21,1)+1),INDEX($F$12:$F$21,MATCH(($A51+9),$E$12:$E$21,1)))-INDEX($F$12:$F$21,MATCH(($A51+9),$E$12:$E$21,1)))/IF((IFERROR(INDEX($E$12:$E$21,MATCH(($A51+9),$E$12:$E$21,1)+1),INDEX($E$12:$E$21,MATCH(($A51+9),$E$12:$E$21,1))+1)-INDEX($E$12:$E$21,MATCH(($A51+9),$E$12:$E$21,1)))=0,1,IFERROR(INDEX($E$12:$E$21,MATCH(($A51+9),$E$12:$E$21,1)+1),INDEX($E$12:$E$21,MATCH(($A51+9),$E$12:$E$21,1))+1)-INDEX($E$12:$E$21,MATCH(($A51+9),$E$12:$E$21,1)))),$F$12) * (($B$9 * (($A51+9)/100)) + (($B$10 * (($A51+9)/100)^2) * $B$12)))</f>
        <v/>
      </c>
    </row>
    <row r="52">
      <c r="A52" s="11">
        <v>160</v>
      </c>
      <c r="B52" s="12" t="str">
        <f>IF(($A52+0)&gt;$B$11, "", IFERROR((INDEX($F$12:$F$21,MATCH(($A52+0),$E$12:$E$21,1))+(($A52+0)-INDEX($E$12:$E$21,MATCH(($A52+0),$E$12:$E$21,1)))*(IFERROR(INDEX($F$12:$F$21,MATCH(($A52+0),$E$12:$E$21,1)+1),INDEX($F$12:$F$21,MATCH(($A52+0),$E$12:$E$21,1)))-INDEX($F$12:$F$21,MATCH(($A52+0),$E$12:$E$21,1)))/IF((IFERROR(INDEX($E$12:$E$21,MATCH(($A52+0),$E$12:$E$21,1)+1),INDEX($E$12:$E$21,MATCH(($A52+0),$E$12:$E$21,1))+1)-INDEX($E$12:$E$21,MATCH(($A52+0),$E$12:$E$21,1)))=0,1,IFERROR(INDEX($E$12:$E$21,MATCH(($A52+0),$E$12:$E$21,1)+1),INDEX($E$12:$E$21,MATCH(($A52+0),$E$12:$E$21,1))+1)-INDEX($E$12:$E$21,MATCH(($A52+0),$E$12:$E$21,1)))),$F$12) * (($B$9 * (($A52+0)/100)) + (($B$10 * (($A52+0)/100)^2) * $B$12)))</f>
        <v/>
      </c>
      <c r="C52" s="12" t="str">
        <f>IF(($A52+1)&gt;$B$11, "", IFERROR((INDEX($F$12:$F$21,MATCH(($A52+1),$E$12:$E$21,1))+(($A52+1)-INDEX($E$12:$E$21,MATCH(($A52+1),$E$12:$E$21,1)))*(IFERROR(INDEX($F$12:$F$21,MATCH(($A52+1),$E$12:$E$21,1)+1),INDEX($F$12:$F$21,MATCH(($A52+1),$E$12:$E$21,1)))-INDEX($F$12:$F$21,MATCH(($A52+1),$E$12:$E$21,1)))/IF((IFERROR(INDEX($E$12:$E$21,MATCH(($A52+1),$E$12:$E$21,1)+1),INDEX($E$12:$E$21,MATCH(($A52+1),$E$12:$E$21,1))+1)-INDEX($E$12:$E$21,MATCH(($A52+1),$E$12:$E$21,1)))=0,1,IFERROR(INDEX($E$12:$E$21,MATCH(($A52+1),$E$12:$E$21,1)+1),INDEX($E$12:$E$21,MATCH(($A52+1),$E$12:$E$21,1))+1)-INDEX($E$12:$E$21,MATCH(($A52+1),$E$12:$E$21,1)))),$F$12) * (($B$9 * (($A52+1)/100)) + (($B$10 * (($A52+1)/100)^2) * $B$12)))</f>
        <v/>
      </c>
      <c r="D52" s="12" t="str">
        <f>IF(($A52+2)&gt;$B$11, "", IFERROR((INDEX($F$12:$F$21,MATCH(($A52+2),$E$12:$E$21,1))+(($A52+2)-INDEX($E$12:$E$21,MATCH(($A52+2),$E$12:$E$21,1)))*(IFERROR(INDEX($F$12:$F$21,MATCH(($A52+2),$E$12:$E$21,1)+1),INDEX($F$12:$F$21,MATCH(($A52+2),$E$12:$E$21,1)))-INDEX($F$12:$F$21,MATCH(($A52+2),$E$12:$E$21,1)))/IF((IFERROR(INDEX($E$12:$E$21,MATCH(($A52+2),$E$12:$E$21,1)+1),INDEX($E$12:$E$21,MATCH(($A52+2),$E$12:$E$21,1))+1)-INDEX($E$12:$E$21,MATCH(($A52+2),$E$12:$E$21,1)))=0,1,IFERROR(INDEX($E$12:$E$21,MATCH(($A52+2),$E$12:$E$21,1)+1),INDEX($E$12:$E$21,MATCH(($A52+2),$E$12:$E$21,1))+1)-INDEX($E$12:$E$21,MATCH(($A52+2),$E$12:$E$21,1)))),$F$12) * (($B$9 * (($A52+2)/100)) + (($B$10 * (($A52+2)/100)^2) * $B$12)))</f>
        <v/>
      </c>
      <c r="E52" s="12" t="str">
        <f>IF(($A52+3)&gt;$B$11, "", IFERROR((INDEX($F$12:$F$21,MATCH(($A52+3),$E$12:$E$21,1))+(($A52+3)-INDEX($E$12:$E$21,MATCH(($A52+3),$E$12:$E$21,1)))*(IFERROR(INDEX($F$12:$F$21,MATCH(($A52+3),$E$12:$E$21,1)+1),INDEX($F$12:$F$21,MATCH(($A52+3),$E$12:$E$21,1)))-INDEX($F$12:$F$21,MATCH(($A52+3),$E$12:$E$21,1)))/IF((IFERROR(INDEX($E$12:$E$21,MATCH(($A52+3),$E$12:$E$21,1)+1),INDEX($E$12:$E$21,MATCH(($A52+3),$E$12:$E$21,1))+1)-INDEX($E$12:$E$21,MATCH(($A52+3),$E$12:$E$21,1)))=0,1,IFERROR(INDEX($E$12:$E$21,MATCH(($A52+3),$E$12:$E$21,1)+1),INDEX($E$12:$E$21,MATCH(($A52+3),$E$12:$E$21,1))+1)-INDEX($E$12:$E$21,MATCH(($A52+3),$E$12:$E$21,1)))),$F$12) * (($B$9 * (($A52+3)/100)) + (($B$10 * (($A52+3)/100)^2) * $B$12)))</f>
        <v/>
      </c>
      <c r="F52" s="12" t="str">
        <f>IF(($A52+4)&gt;$B$11, "", IFERROR((INDEX($F$12:$F$21,MATCH(($A52+4),$E$12:$E$21,1))+(($A52+4)-INDEX($E$12:$E$21,MATCH(($A52+4),$E$12:$E$21,1)))*(IFERROR(INDEX($F$12:$F$21,MATCH(($A52+4),$E$12:$E$21,1)+1),INDEX($F$12:$F$21,MATCH(($A52+4),$E$12:$E$21,1)))-INDEX($F$12:$F$21,MATCH(($A52+4),$E$12:$E$21,1)))/IF((IFERROR(INDEX($E$12:$E$21,MATCH(($A52+4),$E$12:$E$21,1)+1),INDEX($E$12:$E$21,MATCH(($A52+4),$E$12:$E$21,1))+1)-INDEX($E$12:$E$21,MATCH(($A52+4),$E$12:$E$21,1)))=0,1,IFERROR(INDEX($E$12:$E$21,MATCH(($A52+4),$E$12:$E$21,1)+1),INDEX($E$12:$E$21,MATCH(($A52+4),$E$12:$E$21,1))+1)-INDEX($E$12:$E$21,MATCH(($A52+4),$E$12:$E$21,1)))),$F$12) * (($B$9 * (($A52+4)/100)) + (($B$10 * (($A52+4)/100)^2) * $B$12)))</f>
        <v/>
      </c>
      <c r="G52" s="12" t="str">
        <f>IF(($A52+5)&gt;$B$11, "", IFERROR((INDEX($F$12:$F$21,MATCH(($A52+5),$E$12:$E$21,1))+(($A52+5)-INDEX($E$12:$E$21,MATCH(($A52+5),$E$12:$E$21,1)))*(IFERROR(INDEX($F$12:$F$21,MATCH(($A52+5),$E$12:$E$21,1)+1),INDEX($F$12:$F$21,MATCH(($A52+5),$E$12:$E$21,1)))-INDEX($F$12:$F$21,MATCH(($A52+5),$E$12:$E$21,1)))/IF((IFERROR(INDEX($E$12:$E$21,MATCH(($A52+5),$E$12:$E$21,1)+1),INDEX($E$12:$E$21,MATCH(($A52+5),$E$12:$E$21,1))+1)-INDEX($E$12:$E$21,MATCH(($A52+5),$E$12:$E$21,1)))=0,1,IFERROR(INDEX($E$12:$E$21,MATCH(($A52+5),$E$12:$E$21,1)+1),INDEX($E$12:$E$21,MATCH(($A52+5),$E$12:$E$21,1))+1)-INDEX($E$12:$E$21,MATCH(($A52+5),$E$12:$E$21,1)))),$F$12) * (($B$9 * (($A52+5)/100)) + (($B$10 * (($A52+5)/100)^2) * $B$12)))</f>
        <v/>
      </c>
      <c r="H52" s="12" t="str">
        <f>IF(($A52+6)&gt;$B$11, "", IFERROR((INDEX($F$12:$F$21,MATCH(($A52+6),$E$12:$E$21,1))+(($A52+6)-INDEX($E$12:$E$21,MATCH(($A52+6),$E$12:$E$21,1)))*(IFERROR(INDEX($F$12:$F$21,MATCH(($A52+6),$E$12:$E$21,1)+1),INDEX($F$12:$F$21,MATCH(($A52+6),$E$12:$E$21,1)))-INDEX($F$12:$F$21,MATCH(($A52+6),$E$12:$E$21,1)))/IF((IFERROR(INDEX($E$12:$E$21,MATCH(($A52+6),$E$12:$E$21,1)+1),INDEX($E$12:$E$21,MATCH(($A52+6),$E$12:$E$21,1))+1)-INDEX($E$12:$E$21,MATCH(($A52+6),$E$12:$E$21,1)))=0,1,IFERROR(INDEX($E$12:$E$21,MATCH(($A52+6),$E$12:$E$21,1)+1),INDEX($E$12:$E$21,MATCH(($A52+6),$E$12:$E$21,1))+1)-INDEX($E$12:$E$21,MATCH(($A52+6),$E$12:$E$21,1)))),$F$12) * (($B$9 * (($A52+6)/100)) + (($B$10 * (($A52+6)/100)^2) * $B$12)))</f>
        <v/>
      </c>
      <c r="I52" s="12" t="str">
        <f>IF(($A52+7)&gt;$B$11, "", IFERROR((INDEX($F$12:$F$21,MATCH(($A52+7),$E$12:$E$21,1))+(($A52+7)-INDEX($E$12:$E$21,MATCH(($A52+7),$E$12:$E$21,1)))*(IFERROR(INDEX($F$12:$F$21,MATCH(($A52+7),$E$12:$E$21,1)+1),INDEX($F$12:$F$21,MATCH(($A52+7),$E$12:$E$21,1)))-INDEX($F$12:$F$21,MATCH(($A52+7),$E$12:$E$21,1)))/IF((IFERROR(INDEX($E$12:$E$21,MATCH(($A52+7),$E$12:$E$21,1)+1),INDEX($E$12:$E$21,MATCH(($A52+7),$E$12:$E$21,1))+1)-INDEX($E$12:$E$21,MATCH(($A52+7),$E$12:$E$21,1)))=0,1,IFERROR(INDEX($E$12:$E$21,MATCH(($A52+7),$E$12:$E$21,1)+1),INDEX($E$12:$E$21,MATCH(($A52+7),$E$12:$E$21,1))+1)-INDEX($E$12:$E$21,MATCH(($A52+7),$E$12:$E$21,1)))),$F$12) * (($B$9 * (($A52+7)/100)) + (($B$10 * (($A52+7)/100)^2) * $B$12)))</f>
        <v/>
      </c>
      <c r="J52" s="12" t="str">
        <f>IF(($A52+8)&gt;$B$11, "", IFERROR((INDEX($F$12:$F$21,MATCH(($A52+8),$E$12:$E$21,1))+(($A52+8)-INDEX($E$12:$E$21,MATCH(($A52+8),$E$12:$E$21,1)))*(IFERROR(INDEX($F$12:$F$21,MATCH(($A52+8),$E$12:$E$21,1)+1),INDEX($F$12:$F$21,MATCH(($A52+8),$E$12:$E$21,1)))-INDEX($F$12:$F$21,MATCH(($A52+8),$E$12:$E$21,1)))/IF((IFERROR(INDEX($E$12:$E$21,MATCH(($A52+8),$E$12:$E$21,1)+1),INDEX($E$12:$E$21,MATCH(($A52+8),$E$12:$E$21,1))+1)-INDEX($E$12:$E$21,MATCH(($A52+8),$E$12:$E$21,1)))=0,1,IFERROR(INDEX($E$12:$E$21,MATCH(($A52+8),$E$12:$E$21,1)+1),INDEX($E$12:$E$21,MATCH(($A52+8),$E$12:$E$21,1))+1)-INDEX($E$12:$E$21,MATCH(($A52+8),$E$12:$E$21,1)))),$F$12) * (($B$9 * (($A52+8)/100)) + (($B$10 * (($A52+8)/100)^2) * $B$12)))</f>
        <v/>
      </c>
      <c r="K52" s="12" t="str">
        <f>IF(($A52+9)&gt;$B$11, "", IFERROR((INDEX($F$12:$F$21,MATCH(($A52+9),$E$12:$E$21,1))+(($A52+9)-INDEX($E$12:$E$21,MATCH(($A52+9),$E$12:$E$21,1)))*(IFERROR(INDEX($F$12:$F$21,MATCH(($A52+9),$E$12:$E$21,1)+1),INDEX($F$12:$F$21,MATCH(($A52+9),$E$12:$E$21,1)))-INDEX($F$12:$F$21,MATCH(($A52+9),$E$12:$E$21,1)))/IF((IFERROR(INDEX($E$12:$E$21,MATCH(($A52+9),$E$12:$E$21,1)+1),INDEX($E$12:$E$21,MATCH(($A52+9),$E$12:$E$21,1))+1)-INDEX($E$12:$E$21,MATCH(($A52+9),$E$12:$E$21,1)))=0,1,IFERROR(INDEX($E$12:$E$21,MATCH(($A52+9),$E$12:$E$21,1)+1),INDEX($E$12:$E$21,MATCH(($A52+9),$E$12:$E$21,1))+1)-INDEX($E$12:$E$21,MATCH(($A52+9),$E$12:$E$21,1)))),$F$12) * (($B$9 * (($A52+9)/100)) + (($B$10 * (($A52+9)/100)^2) * $B$12)))</f>
        <v/>
      </c>
    </row>
    <row r="53">
      <c r="A53" s="11">
        <v>170</v>
      </c>
      <c r="B53" s="12" t="str">
        <f>IF(($A53+0)&gt;$B$11, "", IFERROR((INDEX($F$12:$F$21,MATCH(($A53+0),$E$12:$E$21,1))+(($A53+0)-INDEX($E$12:$E$21,MATCH(($A53+0),$E$12:$E$21,1)))*(IFERROR(INDEX($F$12:$F$21,MATCH(($A53+0),$E$12:$E$21,1)+1),INDEX($F$12:$F$21,MATCH(($A53+0),$E$12:$E$21,1)))-INDEX($F$12:$F$21,MATCH(($A53+0),$E$12:$E$21,1)))/IF((IFERROR(INDEX($E$12:$E$21,MATCH(($A53+0),$E$12:$E$21,1)+1),INDEX($E$12:$E$21,MATCH(($A53+0),$E$12:$E$21,1))+1)-INDEX($E$12:$E$21,MATCH(($A53+0),$E$12:$E$21,1)))=0,1,IFERROR(INDEX($E$12:$E$21,MATCH(($A53+0),$E$12:$E$21,1)+1),INDEX($E$12:$E$21,MATCH(($A53+0),$E$12:$E$21,1))+1)-INDEX($E$12:$E$21,MATCH(($A53+0),$E$12:$E$21,1)))),$F$12) * (($B$9 * (($A53+0)/100)) + (($B$10 * (($A53+0)/100)^2) * $B$12)))</f>
        <v/>
      </c>
      <c r="C53" s="12" t="str">
        <f>IF(($A53+1)&gt;$B$11, "", IFERROR((INDEX($F$12:$F$21,MATCH(($A53+1),$E$12:$E$21,1))+(($A53+1)-INDEX($E$12:$E$21,MATCH(($A53+1),$E$12:$E$21,1)))*(IFERROR(INDEX($F$12:$F$21,MATCH(($A53+1),$E$12:$E$21,1)+1),INDEX($F$12:$F$21,MATCH(($A53+1),$E$12:$E$21,1)))-INDEX($F$12:$F$21,MATCH(($A53+1),$E$12:$E$21,1)))/IF((IFERROR(INDEX($E$12:$E$21,MATCH(($A53+1),$E$12:$E$21,1)+1),INDEX($E$12:$E$21,MATCH(($A53+1),$E$12:$E$21,1))+1)-INDEX($E$12:$E$21,MATCH(($A53+1),$E$12:$E$21,1)))=0,1,IFERROR(INDEX($E$12:$E$21,MATCH(($A53+1),$E$12:$E$21,1)+1),INDEX($E$12:$E$21,MATCH(($A53+1),$E$12:$E$21,1))+1)-INDEX($E$12:$E$21,MATCH(($A53+1),$E$12:$E$21,1)))),$F$12) * (($B$9 * (($A53+1)/100)) + (($B$10 * (($A53+1)/100)^2) * $B$12)))</f>
        <v/>
      </c>
      <c r="D53" s="12" t="str">
        <f>IF(($A53+2)&gt;$B$11, "", IFERROR((INDEX($F$12:$F$21,MATCH(($A53+2),$E$12:$E$21,1))+(($A53+2)-INDEX($E$12:$E$21,MATCH(($A53+2),$E$12:$E$21,1)))*(IFERROR(INDEX($F$12:$F$21,MATCH(($A53+2),$E$12:$E$21,1)+1),INDEX($F$12:$F$21,MATCH(($A53+2),$E$12:$E$21,1)))-INDEX($F$12:$F$21,MATCH(($A53+2),$E$12:$E$21,1)))/IF((IFERROR(INDEX($E$12:$E$21,MATCH(($A53+2),$E$12:$E$21,1)+1),INDEX($E$12:$E$21,MATCH(($A53+2),$E$12:$E$21,1))+1)-INDEX($E$12:$E$21,MATCH(($A53+2),$E$12:$E$21,1)))=0,1,IFERROR(INDEX($E$12:$E$21,MATCH(($A53+2),$E$12:$E$21,1)+1),INDEX($E$12:$E$21,MATCH(($A53+2),$E$12:$E$21,1))+1)-INDEX($E$12:$E$21,MATCH(($A53+2),$E$12:$E$21,1)))),$F$12) * (($B$9 * (($A53+2)/100)) + (($B$10 * (($A53+2)/100)^2) * $B$12)))</f>
        <v/>
      </c>
      <c r="E53" s="12" t="str">
        <f>IF(($A53+3)&gt;$B$11, "", IFERROR((INDEX($F$12:$F$21,MATCH(($A53+3),$E$12:$E$21,1))+(($A53+3)-INDEX($E$12:$E$21,MATCH(($A53+3),$E$12:$E$21,1)))*(IFERROR(INDEX($F$12:$F$21,MATCH(($A53+3),$E$12:$E$21,1)+1),INDEX($F$12:$F$21,MATCH(($A53+3),$E$12:$E$21,1)))-INDEX($F$12:$F$21,MATCH(($A53+3),$E$12:$E$21,1)))/IF((IFERROR(INDEX($E$12:$E$21,MATCH(($A53+3),$E$12:$E$21,1)+1),INDEX($E$12:$E$21,MATCH(($A53+3),$E$12:$E$21,1))+1)-INDEX($E$12:$E$21,MATCH(($A53+3),$E$12:$E$21,1)))=0,1,IFERROR(INDEX($E$12:$E$21,MATCH(($A53+3),$E$12:$E$21,1)+1),INDEX($E$12:$E$21,MATCH(($A53+3),$E$12:$E$21,1))+1)-INDEX($E$12:$E$21,MATCH(($A53+3),$E$12:$E$21,1)))),$F$12) * (($B$9 * (($A53+3)/100)) + (($B$10 * (($A53+3)/100)^2) * $B$12)))</f>
        <v/>
      </c>
      <c r="F53" s="12" t="str">
        <f>IF(($A53+4)&gt;$B$11, "", IFERROR((INDEX($F$12:$F$21,MATCH(($A53+4),$E$12:$E$21,1))+(($A53+4)-INDEX($E$12:$E$21,MATCH(($A53+4),$E$12:$E$21,1)))*(IFERROR(INDEX($F$12:$F$21,MATCH(($A53+4),$E$12:$E$21,1)+1),INDEX($F$12:$F$21,MATCH(($A53+4),$E$12:$E$21,1)))-INDEX($F$12:$F$21,MATCH(($A53+4),$E$12:$E$21,1)))/IF((IFERROR(INDEX($E$12:$E$21,MATCH(($A53+4),$E$12:$E$21,1)+1),INDEX($E$12:$E$21,MATCH(($A53+4),$E$12:$E$21,1))+1)-INDEX($E$12:$E$21,MATCH(($A53+4),$E$12:$E$21,1)))=0,1,IFERROR(INDEX($E$12:$E$21,MATCH(($A53+4),$E$12:$E$21,1)+1),INDEX($E$12:$E$21,MATCH(($A53+4),$E$12:$E$21,1))+1)-INDEX($E$12:$E$21,MATCH(($A53+4),$E$12:$E$21,1)))),$F$12) * (($B$9 * (($A53+4)/100)) + (($B$10 * (($A53+4)/100)^2) * $B$12)))</f>
        <v/>
      </c>
      <c r="G53" s="12" t="str">
        <f>IF(($A53+5)&gt;$B$11, "", IFERROR((INDEX($F$12:$F$21,MATCH(($A53+5),$E$12:$E$21,1))+(($A53+5)-INDEX($E$12:$E$21,MATCH(($A53+5),$E$12:$E$21,1)))*(IFERROR(INDEX($F$12:$F$21,MATCH(($A53+5),$E$12:$E$21,1)+1),INDEX($F$12:$F$21,MATCH(($A53+5),$E$12:$E$21,1)))-INDEX($F$12:$F$21,MATCH(($A53+5),$E$12:$E$21,1)))/IF((IFERROR(INDEX($E$12:$E$21,MATCH(($A53+5),$E$12:$E$21,1)+1),INDEX($E$12:$E$21,MATCH(($A53+5),$E$12:$E$21,1))+1)-INDEX($E$12:$E$21,MATCH(($A53+5),$E$12:$E$21,1)))=0,1,IFERROR(INDEX($E$12:$E$21,MATCH(($A53+5),$E$12:$E$21,1)+1),INDEX($E$12:$E$21,MATCH(($A53+5),$E$12:$E$21,1))+1)-INDEX($E$12:$E$21,MATCH(($A53+5),$E$12:$E$21,1)))),$F$12) * (($B$9 * (($A53+5)/100)) + (($B$10 * (($A53+5)/100)^2) * $B$12)))</f>
        <v/>
      </c>
      <c r="H53" s="12" t="str">
        <f>IF(($A53+6)&gt;$B$11, "", IFERROR((INDEX($F$12:$F$21,MATCH(($A53+6),$E$12:$E$21,1))+(($A53+6)-INDEX($E$12:$E$21,MATCH(($A53+6),$E$12:$E$21,1)))*(IFERROR(INDEX($F$12:$F$21,MATCH(($A53+6),$E$12:$E$21,1)+1),INDEX($F$12:$F$21,MATCH(($A53+6),$E$12:$E$21,1)))-INDEX($F$12:$F$21,MATCH(($A53+6),$E$12:$E$21,1)))/IF((IFERROR(INDEX($E$12:$E$21,MATCH(($A53+6),$E$12:$E$21,1)+1),INDEX($E$12:$E$21,MATCH(($A53+6),$E$12:$E$21,1))+1)-INDEX($E$12:$E$21,MATCH(($A53+6),$E$12:$E$21,1)))=0,1,IFERROR(INDEX($E$12:$E$21,MATCH(($A53+6),$E$12:$E$21,1)+1),INDEX($E$12:$E$21,MATCH(($A53+6),$E$12:$E$21,1))+1)-INDEX($E$12:$E$21,MATCH(($A53+6),$E$12:$E$21,1)))),$F$12) * (($B$9 * (($A53+6)/100)) + (($B$10 * (($A53+6)/100)^2) * $B$12)))</f>
        <v/>
      </c>
      <c r="I53" s="12" t="str">
        <f>IF(($A53+7)&gt;$B$11, "", IFERROR((INDEX($F$12:$F$21,MATCH(($A53+7),$E$12:$E$21,1))+(($A53+7)-INDEX($E$12:$E$21,MATCH(($A53+7),$E$12:$E$21,1)))*(IFERROR(INDEX($F$12:$F$21,MATCH(($A53+7),$E$12:$E$21,1)+1),INDEX($F$12:$F$21,MATCH(($A53+7),$E$12:$E$21,1)))-INDEX($F$12:$F$21,MATCH(($A53+7),$E$12:$E$21,1)))/IF((IFERROR(INDEX($E$12:$E$21,MATCH(($A53+7),$E$12:$E$21,1)+1),INDEX($E$12:$E$21,MATCH(($A53+7),$E$12:$E$21,1))+1)-INDEX($E$12:$E$21,MATCH(($A53+7),$E$12:$E$21,1)))=0,1,IFERROR(INDEX($E$12:$E$21,MATCH(($A53+7),$E$12:$E$21,1)+1),INDEX($E$12:$E$21,MATCH(($A53+7),$E$12:$E$21,1))+1)-INDEX($E$12:$E$21,MATCH(($A53+7),$E$12:$E$21,1)))),$F$12) * (($B$9 * (($A53+7)/100)) + (($B$10 * (($A53+7)/100)^2) * $B$12)))</f>
        <v/>
      </c>
      <c r="J53" s="12" t="str">
        <f>IF(($A53+8)&gt;$B$11, "", IFERROR((INDEX($F$12:$F$21,MATCH(($A53+8),$E$12:$E$21,1))+(($A53+8)-INDEX($E$12:$E$21,MATCH(($A53+8),$E$12:$E$21,1)))*(IFERROR(INDEX($F$12:$F$21,MATCH(($A53+8),$E$12:$E$21,1)+1),INDEX($F$12:$F$21,MATCH(($A53+8),$E$12:$E$21,1)))-INDEX($F$12:$F$21,MATCH(($A53+8),$E$12:$E$21,1)))/IF((IFERROR(INDEX($E$12:$E$21,MATCH(($A53+8),$E$12:$E$21,1)+1),INDEX($E$12:$E$21,MATCH(($A53+8),$E$12:$E$21,1))+1)-INDEX($E$12:$E$21,MATCH(($A53+8),$E$12:$E$21,1)))=0,1,IFERROR(INDEX($E$12:$E$21,MATCH(($A53+8),$E$12:$E$21,1)+1),INDEX($E$12:$E$21,MATCH(($A53+8),$E$12:$E$21,1))+1)-INDEX($E$12:$E$21,MATCH(($A53+8),$E$12:$E$21,1)))),$F$12) * (($B$9 * (($A53+8)/100)) + (($B$10 * (($A53+8)/100)^2) * $B$12)))</f>
        <v/>
      </c>
      <c r="K53" s="12" t="str">
        <f>IF(($A53+9)&gt;$B$11, "", IFERROR((INDEX($F$12:$F$21,MATCH(($A53+9),$E$12:$E$21,1))+(($A53+9)-INDEX($E$12:$E$21,MATCH(($A53+9),$E$12:$E$21,1)))*(IFERROR(INDEX($F$12:$F$21,MATCH(($A53+9),$E$12:$E$21,1)+1),INDEX($F$12:$F$21,MATCH(($A53+9),$E$12:$E$21,1)))-INDEX($F$12:$F$21,MATCH(($A53+9),$E$12:$E$21,1)))/IF((IFERROR(INDEX($E$12:$E$21,MATCH(($A53+9),$E$12:$E$21,1)+1),INDEX($E$12:$E$21,MATCH(($A53+9),$E$12:$E$21,1))+1)-INDEX($E$12:$E$21,MATCH(($A53+9),$E$12:$E$21,1)))=0,1,IFERROR(INDEX($E$12:$E$21,MATCH(($A53+9),$E$12:$E$21,1)+1),INDEX($E$12:$E$21,MATCH(($A53+9),$E$12:$E$21,1))+1)-INDEX($E$12:$E$21,MATCH(($A53+9),$E$12:$E$21,1)))),$F$12) * (($B$9 * (($A53+9)/100)) + (($B$10 * (($A53+9)/100)^2) * $B$12)))</f>
        <v/>
      </c>
    </row>
    <row r="54">
      <c r="A54" s="11">
        <v>180</v>
      </c>
      <c r="B54" s="12" t="str">
        <f>IF(($A54+0)&gt;$B$11, "", IFERROR((INDEX($F$12:$F$21,MATCH(($A54+0),$E$12:$E$21,1))+(($A54+0)-INDEX($E$12:$E$21,MATCH(($A54+0),$E$12:$E$21,1)))*(IFERROR(INDEX($F$12:$F$21,MATCH(($A54+0),$E$12:$E$21,1)+1),INDEX($F$12:$F$21,MATCH(($A54+0),$E$12:$E$21,1)))-INDEX($F$12:$F$21,MATCH(($A54+0),$E$12:$E$21,1)))/IF((IFERROR(INDEX($E$12:$E$21,MATCH(($A54+0),$E$12:$E$21,1)+1),INDEX($E$12:$E$21,MATCH(($A54+0),$E$12:$E$21,1))+1)-INDEX($E$12:$E$21,MATCH(($A54+0),$E$12:$E$21,1)))=0,1,IFERROR(INDEX($E$12:$E$21,MATCH(($A54+0),$E$12:$E$21,1)+1),INDEX($E$12:$E$21,MATCH(($A54+0),$E$12:$E$21,1))+1)-INDEX($E$12:$E$21,MATCH(($A54+0),$E$12:$E$21,1)))),$F$12) * (($B$9 * (($A54+0)/100)) + (($B$10 * (($A54+0)/100)^2) * $B$12)))</f>
        <v/>
      </c>
      <c r="C54" s="12" t="str">
        <f>IF(($A54+1)&gt;$B$11, "", IFERROR((INDEX($F$12:$F$21,MATCH(($A54+1),$E$12:$E$21,1))+(($A54+1)-INDEX($E$12:$E$21,MATCH(($A54+1),$E$12:$E$21,1)))*(IFERROR(INDEX($F$12:$F$21,MATCH(($A54+1),$E$12:$E$21,1)+1),INDEX($F$12:$F$21,MATCH(($A54+1),$E$12:$E$21,1)))-INDEX($F$12:$F$21,MATCH(($A54+1),$E$12:$E$21,1)))/IF((IFERROR(INDEX($E$12:$E$21,MATCH(($A54+1),$E$12:$E$21,1)+1),INDEX($E$12:$E$21,MATCH(($A54+1),$E$12:$E$21,1))+1)-INDEX($E$12:$E$21,MATCH(($A54+1),$E$12:$E$21,1)))=0,1,IFERROR(INDEX($E$12:$E$21,MATCH(($A54+1),$E$12:$E$21,1)+1),INDEX($E$12:$E$21,MATCH(($A54+1),$E$12:$E$21,1))+1)-INDEX($E$12:$E$21,MATCH(($A54+1),$E$12:$E$21,1)))),$F$12) * (($B$9 * (($A54+1)/100)) + (($B$10 * (($A54+1)/100)^2) * $B$12)))</f>
        <v/>
      </c>
      <c r="D54" s="12" t="str">
        <f>IF(($A54+2)&gt;$B$11, "", IFERROR((INDEX($F$12:$F$21,MATCH(($A54+2),$E$12:$E$21,1))+(($A54+2)-INDEX($E$12:$E$21,MATCH(($A54+2),$E$12:$E$21,1)))*(IFERROR(INDEX($F$12:$F$21,MATCH(($A54+2),$E$12:$E$21,1)+1),INDEX($F$12:$F$21,MATCH(($A54+2),$E$12:$E$21,1)))-INDEX($F$12:$F$21,MATCH(($A54+2),$E$12:$E$21,1)))/IF((IFERROR(INDEX($E$12:$E$21,MATCH(($A54+2),$E$12:$E$21,1)+1),INDEX($E$12:$E$21,MATCH(($A54+2),$E$12:$E$21,1))+1)-INDEX($E$12:$E$21,MATCH(($A54+2),$E$12:$E$21,1)))=0,1,IFERROR(INDEX($E$12:$E$21,MATCH(($A54+2),$E$12:$E$21,1)+1),INDEX($E$12:$E$21,MATCH(($A54+2),$E$12:$E$21,1))+1)-INDEX($E$12:$E$21,MATCH(($A54+2),$E$12:$E$21,1)))),$F$12) * (($B$9 * (($A54+2)/100)) + (($B$10 * (($A54+2)/100)^2) * $B$12)))</f>
        <v/>
      </c>
      <c r="E54" s="12" t="str">
        <f>IF(($A54+3)&gt;$B$11, "", IFERROR((INDEX($F$12:$F$21,MATCH(($A54+3),$E$12:$E$21,1))+(($A54+3)-INDEX($E$12:$E$21,MATCH(($A54+3),$E$12:$E$21,1)))*(IFERROR(INDEX($F$12:$F$21,MATCH(($A54+3),$E$12:$E$21,1)+1),INDEX($F$12:$F$21,MATCH(($A54+3),$E$12:$E$21,1)))-INDEX($F$12:$F$21,MATCH(($A54+3),$E$12:$E$21,1)))/IF((IFERROR(INDEX($E$12:$E$21,MATCH(($A54+3),$E$12:$E$21,1)+1),INDEX($E$12:$E$21,MATCH(($A54+3),$E$12:$E$21,1))+1)-INDEX($E$12:$E$21,MATCH(($A54+3),$E$12:$E$21,1)))=0,1,IFERROR(INDEX($E$12:$E$21,MATCH(($A54+3),$E$12:$E$21,1)+1),INDEX($E$12:$E$21,MATCH(($A54+3),$E$12:$E$21,1))+1)-INDEX($E$12:$E$21,MATCH(($A54+3),$E$12:$E$21,1)))),$F$12) * (($B$9 * (($A54+3)/100)) + (($B$10 * (($A54+3)/100)^2) * $B$12)))</f>
        <v/>
      </c>
      <c r="F54" s="12" t="str">
        <f>IF(($A54+4)&gt;$B$11, "", IFERROR((INDEX($F$12:$F$21,MATCH(($A54+4),$E$12:$E$21,1))+(($A54+4)-INDEX($E$12:$E$21,MATCH(($A54+4),$E$12:$E$21,1)))*(IFERROR(INDEX($F$12:$F$21,MATCH(($A54+4),$E$12:$E$21,1)+1),INDEX($F$12:$F$21,MATCH(($A54+4),$E$12:$E$21,1)))-INDEX($F$12:$F$21,MATCH(($A54+4),$E$12:$E$21,1)))/IF((IFERROR(INDEX($E$12:$E$21,MATCH(($A54+4),$E$12:$E$21,1)+1),INDEX($E$12:$E$21,MATCH(($A54+4),$E$12:$E$21,1))+1)-INDEX($E$12:$E$21,MATCH(($A54+4),$E$12:$E$21,1)))=0,1,IFERROR(INDEX($E$12:$E$21,MATCH(($A54+4),$E$12:$E$21,1)+1),INDEX($E$12:$E$21,MATCH(($A54+4),$E$12:$E$21,1))+1)-INDEX($E$12:$E$21,MATCH(($A54+4),$E$12:$E$21,1)))),$F$12) * (($B$9 * (($A54+4)/100)) + (($B$10 * (($A54+4)/100)^2) * $B$12)))</f>
        <v/>
      </c>
      <c r="G54" s="12" t="str">
        <f>IF(($A54+5)&gt;$B$11, "", IFERROR((INDEX($F$12:$F$21,MATCH(($A54+5),$E$12:$E$21,1))+(($A54+5)-INDEX($E$12:$E$21,MATCH(($A54+5),$E$12:$E$21,1)))*(IFERROR(INDEX($F$12:$F$21,MATCH(($A54+5),$E$12:$E$21,1)+1),INDEX($F$12:$F$21,MATCH(($A54+5),$E$12:$E$21,1)))-INDEX($F$12:$F$21,MATCH(($A54+5),$E$12:$E$21,1)))/IF((IFERROR(INDEX($E$12:$E$21,MATCH(($A54+5),$E$12:$E$21,1)+1),INDEX($E$12:$E$21,MATCH(($A54+5),$E$12:$E$21,1))+1)-INDEX($E$12:$E$21,MATCH(($A54+5),$E$12:$E$21,1)))=0,1,IFERROR(INDEX($E$12:$E$21,MATCH(($A54+5),$E$12:$E$21,1)+1),INDEX($E$12:$E$21,MATCH(($A54+5),$E$12:$E$21,1))+1)-INDEX($E$12:$E$21,MATCH(($A54+5),$E$12:$E$21,1)))),$F$12) * (($B$9 * (($A54+5)/100)) + (($B$10 * (($A54+5)/100)^2) * $B$12)))</f>
        <v/>
      </c>
      <c r="H54" s="12" t="str">
        <f>IF(($A54+6)&gt;$B$11, "", IFERROR((INDEX($F$12:$F$21,MATCH(($A54+6),$E$12:$E$21,1))+(($A54+6)-INDEX($E$12:$E$21,MATCH(($A54+6),$E$12:$E$21,1)))*(IFERROR(INDEX($F$12:$F$21,MATCH(($A54+6),$E$12:$E$21,1)+1),INDEX($F$12:$F$21,MATCH(($A54+6),$E$12:$E$21,1)))-INDEX($F$12:$F$21,MATCH(($A54+6),$E$12:$E$21,1)))/IF((IFERROR(INDEX($E$12:$E$21,MATCH(($A54+6),$E$12:$E$21,1)+1),INDEX($E$12:$E$21,MATCH(($A54+6),$E$12:$E$21,1))+1)-INDEX($E$12:$E$21,MATCH(($A54+6),$E$12:$E$21,1)))=0,1,IFERROR(INDEX($E$12:$E$21,MATCH(($A54+6),$E$12:$E$21,1)+1),INDEX($E$12:$E$21,MATCH(($A54+6),$E$12:$E$21,1))+1)-INDEX($E$12:$E$21,MATCH(($A54+6),$E$12:$E$21,1)))),$F$12) * (($B$9 * (($A54+6)/100)) + (($B$10 * (($A54+6)/100)^2) * $B$12)))</f>
        <v/>
      </c>
      <c r="I54" s="12" t="str">
        <f>IF(($A54+7)&gt;$B$11, "", IFERROR((INDEX($F$12:$F$21,MATCH(($A54+7),$E$12:$E$21,1))+(($A54+7)-INDEX($E$12:$E$21,MATCH(($A54+7),$E$12:$E$21,1)))*(IFERROR(INDEX($F$12:$F$21,MATCH(($A54+7),$E$12:$E$21,1)+1),INDEX($F$12:$F$21,MATCH(($A54+7),$E$12:$E$21,1)))-INDEX($F$12:$F$21,MATCH(($A54+7),$E$12:$E$21,1)))/IF((IFERROR(INDEX($E$12:$E$21,MATCH(($A54+7),$E$12:$E$21,1)+1),INDEX($E$12:$E$21,MATCH(($A54+7),$E$12:$E$21,1))+1)-INDEX($E$12:$E$21,MATCH(($A54+7),$E$12:$E$21,1)))=0,1,IFERROR(INDEX($E$12:$E$21,MATCH(($A54+7),$E$12:$E$21,1)+1),INDEX($E$12:$E$21,MATCH(($A54+7),$E$12:$E$21,1))+1)-INDEX($E$12:$E$21,MATCH(($A54+7),$E$12:$E$21,1)))),$F$12) * (($B$9 * (($A54+7)/100)) + (($B$10 * (($A54+7)/100)^2) * $B$12)))</f>
        <v/>
      </c>
      <c r="J54" s="12" t="str">
        <f>IF(($A54+8)&gt;$B$11, "", IFERROR((INDEX($F$12:$F$21,MATCH(($A54+8),$E$12:$E$21,1))+(($A54+8)-INDEX($E$12:$E$21,MATCH(($A54+8),$E$12:$E$21,1)))*(IFERROR(INDEX($F$12:$F$21,MATCH(($A54+8),$E$12:$E$21,1)+1),INDEX($F$12:$F$21,MATCH(($A54+8),$E$12:$E$21,1)))-INDEX($F$12:$F$21,MATCH(($A54+8),$E$12:$E$21,1)))/IF((IFERROR(INDEX($E$12:$E$21,MATCH(($A54+8),$E$12:$E$21,1)+1),INDEX($E$12:$E$21,MATCH(($A54+8),$E$12:$E$21,1))+1)-INDEX($E$12:$E$21,MATCH(($A54+8),$E$12:$E$21,1)))=0,1,IFERROR(INDEX($E$12:$E$21,MATCH(($A54+8),$E$12:$E$21,1)+1),INDEX($E$12:$E$21,MATCH(($A54+8),$E$12:$E$21,1))+1)-INDEX($E$12:$E$21,MATCH(($A54+8),$E$12:$E$21,1)))),$F$12) * (($B$9 * (($A54+8)/100)) + (($B$10 * (($A54+8)/100)^2) * $B$12)))</f>
        <v/>
      </c>
      <c r="K54" s="12" t="str">
        <f>IF(($A54+9)&gt;$B$11, "", IFERROR((INDEX($F$12:$F$21,MATCH(($A54+9),$E$12:$E$21,1))+(($A54+9)-INDEX($E$12:$E$21,MATCH(($A54+9),$E$12:$E$21,1)))*(IFERROR(INDEX($F$12:$F$21,MATCH(($A54+9),$E$12:$E$21,1)+1),INDEX($F$12:$F$21,MATCH(($A54+9),$E$12:$E$21,1)))-INDEX($F$12:$F$21,MATCH(($A54+9),$E$12:$E$21,1)))/IF((IFERROR(INDEX($E$12:$E$21,MATCH(($A54+9),$E$12:$E$21,1)+1),INDEX($E$12:$E$21,MATCH(($A54+9),$E$12:$E$21,1))+1)-INDEX($E$12:$E$21,MATCH(($A54+9),$E$12:$E$21,1)))=0,1,IFERROR(INDEX($E$12:$E$21,MATCH(($A54+9),$E$12:$E$21,1)+1),INDEX($E$12:$E$21,MATCH(($A54+9),$E$12:$E$21,1))+1)-INDEX($E$12:$E$21,MATCH(($A54+9),$E$12:$E$21,1)))),$F$12) * (($B$9 * (($A54+9)/100)) + (($B$10 * (($A54+9)/100)^2) * $B$12)))</f>
        <v/>
      </c>
    </row>
    <row r="55">
      <c r="A55" s="11">
        <v>190</v>
      </c>
      <c r="B55" s="12" t="str">
        <f>IF(($A55+0)&gt;$B$11, "", IFERROR((INDEX($F$12:$F$21,MATCH(($A55+0),$E$12:$E$21,1))+(($A55+0)-INDEX($E$12:$E$21,MATCH(($A55+0),$E$12:$E$21,1)))*(IFERROR(INDEX($F$12:$F$21,MATCH(($A55+0),$E$12:$E$21,1)+1),INDEX($F$12:$F$21,MATCH(($A55+0),$E$12:$E$21,1)))-INDEX($F$12:$F$21,MATCH(($A55+0),$E$12:$E$21,1)))/IF((IFERROR(INDEX($E$12:$E$21,MATCH(($A55+0),$E$12:$E$21,1)+1),INDEX($E$12:$E$21,MATCH(($A55+0),$E$12:$E$21,1))+1)-INDEX($E$12:$E$21,MATCH(($A55+0),$E$12:$E$21,1)))=0,1,IFERROR(INDEX($E$12:$E$21,MATCH(($A55+0),$E$12:$E$21,1)+1),INDEX($E$12:$E$21,MATCH(($A55+0),$E$12:$E$21,1))+1)-INDEX($E$12:$E$21,MATCH(($A55+0),$E$12:$E$21,1)))),$F$12) * (($B$9 * (($A55+0)/100)) + (($B$10 * (($A55+0)/100)^2) * $B$12)))</f>
        <v/>
      </c>
      <c r="C55" s="12" t="str">
        <f>IF(($A55+1)&gt;$B$11, "", IFERROR((INDEX($F$12:$F$21,MATCH(($A55+1),$E$12:$E$21,1))+(($A55+1)-INDEX($E$12:$E$21,MATCH(($A55+1),$E$12:$E$21,1)))*(IFERROR(INDEX($F$12:$F$21,MATCH(($A55+1),$E$12:$E$21,1)+1),INDEX($F$12:$F$21,MATCH(($A55+1),$E$12:$E$21,1)))-INDEX($F$12:$F$21,MATCH(($A55+1),$E$12:$E$21,1)))/IF((IFERROR(INDEX($E$12:$E$21,MATCH(($A55+1),$E$12:$E$21,1)+1),INDEX($E$12:$E$21,MATCH(($A55+1),$E$12:$E$21,1))+1)-INDEX($E$12:$E$21,MATCH(($A55+1),$E$12:$E$21,1)))=0,1,IFERROR(INDEX($E$12:$E$21,MATCH(($A55+1),$E$12:$E$21,1)+1),INDEX($E$12:$E$21,MATCH(($A55+1),$E$12:$E$21,1))+1)-INDEX($E$12:$E$21,MATCH(($A55+1),$E$12:$E$21,1)))),$F$12) * (($B$9 * (($A55+1)/100)) + (($B$10 * (($A55+1)/100)^2) * $B$12)))</f>
        <v/>
      </c>
      <c r="D55" s="12" t="str">
        <f>IF(($A55+2)&gt;$B$11, "", IFERROR((INDEX($F$12:$F$21,MATCH(($A55+2),$E$12:$E$21,1))+(($A55+2)-INDEX($E$12:$E$21,MATCH(($A55+2),$E$12:$E$21,1)))*(IFERROR(INDEX($F$12:$F$21,MATCH(($A55+2),$E$12:$E$21,1)+1),INDEX($F$12:$F$21,MATCH(($A55+2),$E$12:$E$21,1)))-INDEX($F$12:$F$21,MATCH(($A55+2),$E$12:$E$21,1)))/IF((IFERROR(INDEX($E$12:$E$21,MATCH(($A55+2),$E$12:$E$21,1)+1),INDEX($E$12:$E$21,MATCH(($A55+2),$E$12:$E$21,1))+1)-INDEX($E$12:$E$21,MATCH(($A55+2),$E$12:$E$21,1)))=0,1,IFERROR(INDEX($E$12:$E$21,MATCH(($A55+2),$E$12:$E$21,1)+1),INDEX($E$12:$E$21,MATCH(($A55+2),$E$12:$E$21,1))+1)-INDEX($E$12:$E$21,MATCH(($A55+2),$E$12:$E$21,1)))),$F$12) * (($B$9 * (($A55+2)/100)) + (($B$10 * (($A55+2)/100)^2) * $B$12)))</f>
        <v/>
      </c>
      <c r="E55" s="12" t="str">
        <f>IF(($A55+3)&gt;$B$11, "", IFERROR((INDEX($F$12:$F$21,MATCH(($A55+3),$E$12:$E$21,1))+(($A55+3)-INDEX($E$12:$E$21,MATCH(($A55+3),$E$12:$E$21,1)))*(IFERROR(INDEX($F$12:$F$21,MATCH(($A55+3),$E$12:$E$21,1)+1),INDEX($F$12:$F$21,MATCH(($A55+3),$E$12:$E$21,1)))-INDEX($F$12:$F$21,MATCH(($A55+3),$E$12:$E$21,1)))/IF((IFERROR(INDEX($E$12:$E$21,MATCH(($A55+3),$E$12:$E$21,1)+1),INDEX($E$12:$E$21,MATCH(($A55+3),$E$12:$E$21,1))+1)-INDEX($E$12:$E$21,MATCH(($A55+3),$E$12:$E$21,1)))=0,1,IFERROR(INDEX($E$12:$E$21,MATCH(($A55+3),$E$12:$E$21,1)+1),INDEX($E$12:$E$21,MATCH(($A55+3),$E$12:$E$21,1))+1)-INDEX($E$12:$E$21,MATCH(($A55+3),$E$12:$E$21,1)))),$F$12) * (($B$9 * (($A55+3)/100)) + (($B$10 * (($A55+3)/100)^2) * $B$12)))</f>
        <v/>
      </c>
      <c r="F55" s="12" t="str">
        <f>IF(($A55+4)&gt;$B$11, "", IFERROR((INDEX($F$12:$F$21,MATCH(($A55+4),$E$12:$E$21,1))+(($A55+4)-INDEX($E$12:$E$21,MATCH(($A55+4),$E$12:$E$21,1)))*(IFERROR(INDEX($F$12:$F$21,MATCH(($A55+4),$E$12:$E$21,1)+1),INDEX($F$12:$F$21,MATCH(($A55+4),$E$12:$E$21,1)))-INDEX($F$12:$F$21,MATCH(($A55+4),$E$12:$E$21,1)))/IF((IFERROR(INDEX($E$12:$E$21,MATCH(($A55+4),$E$12:$E$21,1)+1),INDEX($E$12:$E$21,MATCH(($A55+4),$E$12:$E$21,1))+1)-INDEX($E$12:$E$21,MATCH(($A55+4),$E$12:$E$21,1)))=0,1,IFERROR(INDEX($E$12:$E$21,MATCH(($A55+4),$E$12:$E$21,1)+1),INDEX($E$12:$E$21,MATCH(($A55+4),$E$12:$E$21,1))+1)-INDEX($E$12:$E$21,MATCH(($A55+4),$E$12:$E$21,1)))),$F$12) * (($B$9 * (($A55+4)/100)) + (($B$10 * (($A55+4)/100)^2) * $B$12)))</f>
        <v/>
      </c>
      <c r="G55" s="12" t="str">
        <f>IF(($A55+5)&gt;$B$11, "", IFERROR((INDEX($F$12:$F$21,MATCH(($A55+5),$E$12:$E$21,1))+(($A55+5)-INDEX($E$12:$E$21,MATCH(($A55+5),$E$12:$E$21,1)))*(IFERROR(INDEX($F$12:$F$21,MATCH(($A55+5),$E$12:$E$21,1)+1),INDEX($F$12:$F$21,MATCH(($A55+5),$E$12:$E$21,1)))-INDEX($F$12:$F$21,MATCH(($A55+5),$E$12:$E$21,1)))/IF((IFERROR(INDEX($E$12:$E$21,MATCH(($A55+5),$E$12:$E$21,1)+1),INDEX($E$12:$E$21,MATCH(($A55+5),$E$12:$E$21,1))+1)-INDEX($E$12:$E$21,MATCH(($A55+5),$E$12:$E$21,1)))=0,1,IFERROR(INDEX($E$12:$E$21,MATCH(($A55+5),$E$12:$E$21,1)+1),INDEX($E$12:$E$21,MATCH(($A55+5),$E$12:$E$21,1))+1)-INDEX($E$12:$E$21,MATCH(($A55+5),$E$12:$E$21,1)))),$F$12) * (($B$9 * (($A55+5)/100)) + (($B$10 * (($A55+5)/100)^2) * $B$12)))</f>
        <v/>
      </c>
      <c r="H55" s="12" t="str">
        <f>IF(($A55+6)&gt;$B$11, "", IFERROR((INDEX($F$12:$F$21,MATCH(($A55+6),$E$12:$E$21,1))+(($A55+6)-INDEX($E$12:$E$21,MATCH(($A55+6),$E$12:$E$21,1)))*(IFERROR(INDEX($F$12:$F$21,MATCH(($A55+6),$E$12:$E$21,1)+1),INDEX($F$12:$F$21,MATCH(($A55+6),$E$12:$E$21,1)))-INDEX($F$12:$F$21,MATCH(($A55+6),$E$12:$E$21,1)))/IF((IFERROR(INDEX($E$12:$E$21,MATCH(($A55+6),$E$12:$E$21,1)+1),INDEX($E$12:$E$21,MATCH(($A55+6),$E$12:$E$21,1))+1)-INDEX($E$12:$E$21,MATCH(($A55+6),$E$12:$E$21,1)))=0,1,IFERROR(INDEX($E$12:$E$21,MATCH(($A55+6),$E$12:$E$21,1)+1),INDEX($E$12:$E$21,MATCH(($A55+6),$E$12:$E$21,1))+1)-INDEX($E$12:$E$21,MATCH(($A55+6),$E$12:$E$21,1)))),$F$12) * (($B$9 * (($A55+6)/100)) + (($B$10 * (($A55+6)/100)^2) * $B$12)))</f>
        <v/>
      </c>
      <c r="I55" s="12" t="str">
        <f>IF(($A55+7)&gt;$B$11, "", IFERROR((INDEX($F$12:$F$21,MATCH(($A55+7),$E$12:$E$21,1))+(($A55+7)-INDEX($E$12:$E$21,MATCH(($A55+7),$E$12:$E$21,1)))*(IFERROR(INDEX($F$12:$F$21,MATCH(($A55+7),$E$12:$E$21,1)+1),INDEX($F$12:$F$21,MATCH(($A55+7),$E$12:$E$21,1)))-INDEX($F$12:$F$21,MATCH(($A55+7),$E$12:$E$21,1)))/IF((IFERROR(INDEX($E$12:$E$21,MATCH(($A55+7),$E$12:$E$21,1)+1),INDEX($E$12:$E$21,MATCH(($A55+7),$E$12:$E$21,1))+1)-INDEX($E$12:$E$21,MATCH(($A55+7),$E$12:$E$21,1)))=0,1,IFERROR(INDEX($E$12:$E$21,MATCH(($A55+7),$E$12:$E$21,1)+1),INDEX($E$12:$E$21,MATCH(($A55+7),$E$12:$E$21,1))+1)-INDEX($E$12:$E$21,MATCH(($A55+7),$E$12:$E$21,1)))),$F$12) * (($B$9 * (($A55+7)/100)) + (($B$10 * (($A55+7)/100)^2) * $B$12)))</f>
        <v/>
      </c>
      <c r="J55" s="12" t="str">
        <f>IF(($A55+8)&gt;$B$11, "", IFERROR((INDEX($F$12:$F$21,MATCH(($A55+8),$E$12:$E$21,1))+(($A55+8)-INDEX($E$12:$E$21,MATCH(($A55+8),$E$12:$E$21,1)))*(IFERROR(INDEX($F$12:$F$21,MATCH(($A55+8),$E$12:$E$21,1)+1),INDEX($F$12:$F$21,MATCH(($A55+8),$E$12:$E$21,1)))-INDEX($F$12:$F$21,MATCH(($A55+8),$E$12:$E$21,1)))/IF((IFERROR(INDEX($E$12:$E$21,MATCH(($A55+8),$E$12:$E$21,1)+1),INDEX($E$12:$E$21,MATCH(($A55+8),$E$12:$E$21,1))+1)-INDEX($E$12:$E$21,MATCH(($A55+8),$E$12:$E$21,1)))=0,1,IFERROR(INDEX($E$12:$E$21,MATCH(($A55+8),$E$12:$E$21,1)+1),INDEX($E$12:$E$21,MATCH(($A55+8),$E$12:$E$21,1))+1)-INDEX($E$12:$E$21,MATCH(($A55+8),$E$12:$E$21,1)))),$F$12) * (($B$9 * (($A55+8)/100)) + (($B$10 * (($A55+8)/100)^2) * $B$12)))</f>
        <v/>
      </c>
      <c r="K55" s="12" t="str">
        <f>IF(($A55+9)&gt;$B$11, "", IFERROR((INDEX($F$12:$F$21,MATCH(($A55+9),$E$12:$E$21,1))+(($A55+9)-INDEX($E$12:$E$21,MATCH(($A55+9),$E$12:$E$21,1)))*(IFERROR(INDEX($F$12:$F$21,MATCH(($A55+9),$E$12:$E$21,1)+1),INDEX($F$12:$F$21,MATCH(($A55+9),$E$12:$E$21,1)))-INDEX($F$12:$F$21,MATCH(($A55+9),$E$12:$E$21,1)))/IF((IFERROR(INDEX($E$12:$E$21,MATCH(($A55+9),$E$12:$E$21,1)+1),INDEX($E$12:$E$21,MATCH(($A55+9),$E$12:$E$21,1))+1)-INDEX($E$12:$E$21,MATCH(($A55+9),$E$12:$E$21,1)))=0,1,IFERROR(INDEX($E$12:$E$21,MATCH(($A55+9),$E$12:$E$21,1)+1),INDEX($E$12:$E$21,MATCH(($A55+9),$E$12:$E$21,1))+1)-INDEX($E$12:$E$21,MATCH(($A55+9),$E$12:$E$21,1)))),$F$12) * (($B$9 * (($A55+9)/100)) + (($B$10 * (($A55+9)/100)^2) * $B$12)))</f>
        <v/>
      </c>
    </row>
    <row r="56">
      <c r="A56" s="11">
        <v>200</v>
      </c>
      <c r="B56" s="12" t="str">
        <f>IF(($A56+0)&gt;$B$11, "", IFERROR((INDEX($F$12:$F$21,MATCH(($A56+0),$E$12:$E$21,1))+(($A56+0)-INDEX($E$12:$E$21,MATCH(($A56+0),$E$12:$E$21,1)))*(IFERROR(INDEX($F$12:$F$21,MATCH(($A56+0),$E$12:$E$21,1)+1),INDEX($F$12:$F$21,MATCH(($A56+0),$E$12:$E$21,1)))-INDEX($F$12:$F$21,MATCH(($A56+0),$E$12:$E$21,1)))/IF((IFERROR(INDEX($E$12:$E$21,MATCH(($A56+0),$E$12:$E$21,1)+1),INDEX($E$12:$E$21,MATCH(($A56+0),$E$12:$E$21,1))+1)-INDEX($E$12:$E$21,MATCH(($A56+0),$E$12:$E$21,1)))=0,1,IFERROR(INDEX($E$12:$E$21,MATCH(($A56+0),$E$12:$E$21,1)+1),INDEX($E$12:$E$21,MATCH(($A56+0),$E$12:$E$21,1))+1)-INDEX($E$12:$E$21,MATCH(($A56+0),$E$12:$E$21,1)))),$F$12) * (($B$9 * (($A56+0)/100)) + (($B$10 * (($A56+0)/100)^2) * $B$12)))</f>
        <v/>
      </c>
      <c r="C56" s="12" t="str">
        <f>IF(($A56+1)&gt;$B$11, "", IFERROR((INDEX($F$12:$F$21,MATCH(($A56+1),$E$12:$E$21,1))+(($A56+1)-INDEX($E$12:$E$21,MATCH(($A56+1),$E$12:$E$21,1)))*(IFERROR(INDEX($F$12:$F$21,MATCH(($A56+1),$E$12:$E$21,1)+1),INDEX($F$12:$F$21,MATCH(($A56+1),$E$12:$E$21,1)))-INDEX($F$12:$F$21,MATCH(($A56+1),$E$12:$E$21,1)))/IF((IFERROR(INDEX($E$12:$E$21,MATCH(($A56+1),$E$12:$E$21,1)+1),INDEX($E$12:$E$21,MATCH(($A56+1),$E$12:$E$21,1))+1)-INDEX($E$12:$E$21,MATCH(($A56+1),$E$12:$E$21,1)))=0,1,IFERROR(INDEX($E$12:$E$21,MATCH(($A56+1),$E$12:$E$21,1)+1),INDEX($E$12:$E$21,MATCH(($A56+1),$E$12:$E$21,1))+1)-INDEX($E$12:$E$21,MATCH(($A56+1),$E$12:$E$21,1)))),$F$12) * (($B$9 * (($A56+1)/100)) + (($B$10 * (($A56+1)/100)^2) * $B$12)))</f>
        <v/>
      </c>
      <c r="D56" s="12" t="str">
        <f>IF(($A56+2)&gt;$B$11, "", IFERROR((INDEX($F$12:$F$21,MATCH(($A56+2),$E$12:$E$21,1))+(($A56+2)-INDEX($E$12:$E$21,MATCH(($A56+2),$E$12:$E$21,1)))*(IFERROR(INDEX($F$12:$F$21,MATCH(($A56+2),$E$12:$E$21,1)+1),INDEX($F$12:$F$21,MATCH(($A56+2),$E$12:$E$21,1)))-INDEX($F$12:$F$21,MATCH(($A56+2),$E$12:$E$21,1)))/IF((IFERROR(INDEX($E$12:$E$21,MATCH(($A56+2),$E$12:$E$21,1)+1),INDEX($E$12:$E$21,MATCH(($A56+2),$E$12:$E$21,1))+1)-INDEX($E$12:$E$21,MATCH(($A56+2),$E$12:$E$21,1)))=0,1,IFERROR(INDEX($E$12:$E$21,MATCH(($A56+2),$E$12:$E$21,1)+1),INDEX($E$12:$E$21,MATCH(($A56+2),$E$12:$E$21,1))+1)-INDEX($E$12:$E$21,MATCH(($A56+2),$E$12:$E$21,1)))),$F$12) * (($B$9 * (($A56+2)/100)) + (($B$10 * (($A56+2)/100)^2) * $B$12)))</f>
        <v/>
      </c>
      <c r="E56" s="12" t="str">
        <f>IF(($A56+3)&gt;$B$11, "", IFERROR((INDEX($F$12:$F$21,MATCH(($A56+3),$E$12:$E$21,1))+(($A56+3)-INDEX($E$12:$E$21,MATCH(($A56+3),$E$12:$E$21,1)))*(IFERROR(INDEX($F$12:$F$21,MATCH(($A56+3),$E$12:$E$21,1)+1),INDEX($F$12:$F$21,MATCH(($A56+3),$E$12:$E$21,1)))-INDEX($F$12:$F$21,MATCH(($A56+3),$E$12:$E$21,1)))/IF((IFERROR(INDEX($E$12:$E$21,MATCH(($A56+3),$E$12:$E$21,1)+1),INDEX($E$12:$E$21,MATCH(($A56+3),$E$12:$E$21,1))+1)-INDEX($E$12:$E$21,MATCH(($A56+3),$E$12:$E$21,1)))=0,1,IFERROR(INDEX($E$12:$E$21,MATCH(($A56+3),$E$12:$E$21,1)+1),INDEX($E$12:$E$21,MATCH(($A56+3),$E$12:$E$21,1))+1)-INDEX($E$12:$E$21,MATCH(($A56+3),$E$12:$E$21,1)))),$F$12) * (($B$9 * (($A56+3)/100)) + (($B$10 * (($A56+3)/100)^2) * $B$12)))</f>
        <v/>
      </c>
      <c r="F56" s="12" t="str">
        <f>IF(($A56+4)&gt;$B$11, "", IFERROR((INDEX($F$12:$F$21,MATCH(($A56+4),$E$12:$E$21,1))+(($A56+4)-INDEX($E$12:$E$21,MATCH(($A56+4),$E$12:$E$21,1)))*(IFERROR(INDEX($F$12:$F$21,MATCH(($A56+4),$E$12:$E$21,1)+1),INDEX($F$12:$F$21,MATCH(($A56+4),$E$12:$E$21,1)))-INDEX($F$12:$F$21,MATCH(($A56+4),$E$12:$E$21,1)))/IF((IFERROR(INDEX($E$12:$E$21,MATCH(($A56+4),$E$12:$E$21,1)+1),INDEX($E$12:$E$21,MATCH(($A56+4),$E$12:$E$21,1))+1)-INDEX($E$12:$E$21,MATCH(($A56+4),$E$12:$E$21,1)))=0,1,IFERROR(INDEX($E$12:$E$21,MATCH(($A56+4),$E$12:$E$21,1)+1),INDEX($E$12:$E$21,MATCH(($A56+4),$E$12:$E$21,1))+1)-INDEX($E$12:$E$21,MATCH(($A56+4),$E$12:$E$21,1)))),$F$12) * (($B$9 * (($A56+4)/100)) + (($B$10 * (($A56+4)/100)^2) * $B$12)))</f>
        <v/>
      </c>
      <c r="G56" s="12" t="str">
        <f>IF(($A56+5)&gt;$B$11, "", IFERROR((INDEX($F$12:$F$21,MATCH(($A56+5),$E$12:$E$21,1))+(($A56+5)-INDEX($E$12:$E$21,MATCH(($A56+5),$E$12:$E$21,1)))*(IFERROR(INDEX($F$12:$F$21,MATCH(($A56+5),$E$12:$E$21,1)+1),INDEX($F$12:$F$21,MATCH(($A56+5),$E$12:$E$21,1)))-INDEX($F$12:$F$21,MATCH(($A56+5),$E$12:$E$21,1)))/IF((IFERROR(INDEX($E$12:$E$21,MATCH(($A56+5),$E$12:$E$21,1)+1),INDEX($E$12:$E$21,MATCH(($A56+5),$E$12:$E$21,1))+1)-INDEX($E$12:$E$21,MATCH(($A56+5),$E$12:$E$21,1)))=0,1,IFERROR(INDEX($E$12:$E$21,MATCH(($A56+5),$E$12:$E$21,1)+1),INDEX($E$12:$E$21,MATCH(($A56+5),$E$12:$E$21,1))+1)-INDEX($E$12:$E$21,MATCH(($A56+5),$E$12:$E$21,1)))),$F$12) * (($B$9 * (($A56+5)/100)) + (($B$10 * (($A56+5)/100)^2) * $B$12)))</f>
        <v/>
      </c>
      <c r="H56" s="12" t="str">
        <f>IF(($A56+6)&gt;$B$11, "", IFERROR((INDEX($F$12:$F$21,MATCH(($A56+6),$E$12:$E$21,1))+(($A56+6)-INDEX($E$12:$E$21,MATCH(($A56+6),$E$12:$E$21,1)))*(IFERROR(INDEX($F$12:$F$21,MATCH(($A56+6),$E$12:$E$21,1)+1),INDEX($F$12:$F$21,MATCH(($A56+6),$E$12:$E$21,1)))-INDEX($F$12:$F$21,MATCH(($A56+6),$E$12:$E$21,1)))/IF((IFERROR(INDEX($E$12:$E$21,MATCH(($A56+6),$E$12:$E$21,1)+1),INDEX($E$12:$E$21,MATCH(($A56+6),$E$12:$E$21,1))+1)-INDEX($E$12:$E$21,MATCH(($A56+6),$E$12:$E$21,1)))=0,1,IFERROR(INDEX($E$12:$E$21,MATCH(($A56+6),$E$12:$E$21,1)+1),INDEX($E$12:$E$21,MATCH(($A56+6),$E$12:$E$21,1))+1)-INDEX($E$12:$E$21,MATCH(($A56+6),$E$12:$E$21,1)))),$F$12) * (($B$9 * (($A56+6)/100)) + (($B$10 * (($A56+6)/100)^2) * $B$12)))</f>
        <v/>
      </c>
      <c r="I56" s="12" t="str">
        <f>IF(($A56+7)&gt;$B$11, "", IFERROR((INDEX($F$12:$F$21,MATCH(($A56+7),$E$12:$E$21,1))+(($A56+7)-INDEX($E$12:$E$21,MATCH(($A56+7),$E$12:$E$21,1)))*(IFERROR(INDEX($F$12:$F$21,MATCH(($A56+7),$E$12:$E$21,1)+1),INDEX($F$12:$F$21,MATCH(($A56+7),$E$12:$E$21,1)))-INDEX($F$12:$F$21,MATCH(($A56+7),$E$12:$E$21,1)))/IF((IFERROR(INDEX($E$12:$E$21,MATCH(($A56+7),$E$12:$E$21,1)+1),INDEX($E$12:$E$21,MATCH(($A56+7),$E$12:$E$21,1))+1)-INDEX($E$12:$E$21,MATCH(($A56+7),$E$12:$E$21,1)))=0,1,IFERROR(INDEX($E$12:$E$21,MATCH(($A56+7),$E$12:$E$21,1)+1),INDEX($E$12:$E$21,MATCH(($A56+7),$E$12:$E$21,1))+1)-INDEX($E$12:$E$21,MATCH(($A56+7),$E$12:$E$21,1)))),$F$12) * (($B$9 * (($A56+7)/100)) + (($B$10 * (($A56+7)/100)^2) * $B$12)))</f>
        <v/>
      </c>
      <c r="J56" s="12" t="str">
        <f>IF(($A56+8)&gt;$B$11, "", IFERROR((INDEX($F$12:$F$21,MATCH(($A56+8),$E$12:$E$21,1))+(($A56+8)-INDEX($E$12:$E$21,MATCH(($A56+8),$E$12:$E$21,1)))*(IFERROR(INDEX($F$12:$F$21,MATCH(($A56+8),$E$12:$E$21,1)+1),INDEX($F$12:$F$21,MATCH(($A56+8),$E$12:$E$21,1)))-INDEX($F$12:$F$21,MATCH(($A56+8),$E$12:$E$21,1)))/IF((IFERROR(INDEX($E$12:$E$21,MATCH(($A56+8),$E$12:$E$21,1)+1),INDEX($E$12:$E$21,MATCH(($A56+8),$E$12:$E$21,1))+1)-INDEX($E$12:$E$21,MATCH(($A56+8),$E$12:$E$21,1)))=0,1,IFERROR(INDEX($E$12:$E$21,MATCH(($A56+8),$E$12:$E$21,1)+1),INDEX($E$12:$E$21,MATCH(($A56+8),$E$12:$E$21,1))+1)-INDEX($E$12:$E$21,MATCH(($A56+8),$E$12:$E$21,1)))),$F$12) * (($B$9 * (($A56+8)/100)) + (($B$10 * (($A56+8)/100)^2) * $B$12)))</f>
        <v/>
      </c>
      <c r="K56" s="12" t="str">
        <f>IF(($A56+9)&gt;$B$11, "", IFERROR((INDEX($F$12:$F$21,MATCH(($A56+9),$E$12:$E$21,1))+(($A56+9)-INDEX($E$12:$E$21,MATCH(($A56+9),$E$12:$E$21,1)))*(IFERROR(INDEX($F$12:$F$21,MATCH(($A56+9),$E$12:$E$21,1)+1),INDEX($F$12:$F$21,MATCH(($A56+9),$E$12:$E$21,1)))-INDEX($F$12:$F$21,MATCH(($A56+9),$E$12:$E$21,1)))/IF((IFERROR(INDEX($E$12:$E$21,MATCH(($A56+9),$E$12:$E$21,1)+1),INDEX($E$12:$E$21,MATCH(($A56+9),$E$12:$E$21,1))+1)-INDEX($E$12:$E$21,MATCH(($A56+9),$E$12:$E$21,1)))=0,1,IFERROR(INDEX($E$12:$E$21,MATCH(($A56+9),$E$12:$E$21,1)+1),INDEX($E$12:$E$21,MATCH(($A56+9),$E$12:$E$21,1))+1)-INDEX($E$12:$E$21,MATCH(($A56+9),$E$12:$E$21,1)))),$F$12) * (($B$9 * (($A56+9)/100)) + (($B$10 * (($A56+9)/100)^2) * $B$12)))</f>
        <v/>
      </c>
    </row>
    <row r="57">
      <c r="A57" s="11">
        <v>210</v>
      </c>
      <c r="B57" s="12" t="str">
        <f>IF(($A57+0)&gt;$B$11, "", IFERROR((INDEX($F$12:$F$21,MATCH(($A57+0),$E$12:$E$21,1))+(($A57+0)-INDEX($E$12:$E$21,MATCH(($A57+0),$E$12:$E$21,1)))*(IFERROR(INDEX($F$12:$F$21,MATCH(($A57+0),$E$12:$E$21,1)+1),INDEX($F$12:$F$21,MATCH(($A57+0),$E$12:$E$21,1)))-INDEX($F$12:$F$21,MATCH(($A57+0),$E$12:$E$21,1)))/IF((IFERROR(INDEX($E$12:$E$21,MATCH(($A57+0),$E$12:$E$21,1)+1),INDEX($E$12:$E$21,MATCH(($A57+0),$E$12:$E$21,1))+1)-INDEX($E$12:$E$21,MATCH(($A57+0),$E$12:$E$21,1)))=0,1,IFERROR(INDEX($E$12:$E$21,MATCH(($A57+0),$E$12:$E$21,1)+1),INDEX($E$12:$E$21,MATCH(($A57+0),$E$12:$E$21,1))+1)-INDEX($E$12:$E$21,MATCH(($A57+0),$E$12:$E$21,1)))),$F$12) * (($B$9 * (($A57+0)/100)) + (($B$10 * (($A57+0)/100)^2) * $B$12)))</f>
        <v/>
      </c>
      <c r="C57" s="12" t="str">
        <f>IF(($A57+1)&gt;$B$11, "", IFERROR((INDEX($F$12:$F$21,MATCH(($A57+1),$E$12:$E$21,1))+(($A57+1)-INDEX($E$12:$E$21,MATCH(($A57+1),$E$12:$E$21,1)))*(IFERROR(INDEX($F$12:$F$21,MATCH(($A57+1),$E$12:$E$21,1)+1),INDEX($F$12:$F$21,MATCH(($A57+1),$E$12:$E$21,1)))-INDEX($F$12:$F$21,MATCH(($A57+1),$E$12:$E$21,1)))/IF((IFERROR(INDEX($E$12:$E$21,MATCH(($A57+1),$E$12:$E$21,1)+1),INDEX($E$12:$E$21,MATCH(($A57+1),$E$12:$E$21,1))+1)-INDEX($E$12:$E$21,MATCH(($A57+1),$E$12:$E$21,1)))=0,1,IFERROR(INDEX($E$12:$E$21,MATCH(($A57+1),$E$12:$E$21,1)+1),INDEX($E$12:$E$21,MATCH(($A57+1),$E$12:$E$21,1))+1)-INDEX($E$12:$E$21,MATCH(($A57+1),$E$12:$E$21,1)))),$F$12) * (($B$9 * (($A57+1)/100)) + (($B$10 * (($A57+1)/100)^2) * $B$12)))</f>
        <v/>
      </c>
      <c r="D57" s="12" t="str">
        <f>IF(($A57+2)&gt;$B$11, "", IFERROR((INDEX($F$12:$F$21,MATCH(($A57+2),$E$12:$E$21,1))+(($A57+2)-INDEX($E$12:$E$21,MATCH(($A57+2),$E$12:$E$21,1)))*(IFERROR(INDEX($F$12:$F$21,MATCH(($A57+2),$E$12:$E$21,1)+1),INDEX($F$12:$F$21,MATCH(($A57+2),$E$12:$E$21,1)))-INDEX($F$12:$F$21,MATCH(($A57+2),$E$12:$E$21,1)))/IF((IFERROR(INDEX($E$12:$E$21,MATCH(($A57+2),$E$12:$E$21,1)+1),INDEX($E$12:$E$21,MATCH(($A57+2),$E$12:$E$21,1))+1)-INDEX($E$12:$E$21,MATCH(($A57+2),$E$12:$E$21,1)))=0,1,IFERROR(INDEX($E$12:$E$21,MATCH(($A57+2),$E$12:$E$21,1)+1),INDEX($E$12:$E$21,MATCH(($A57+2),$E$12:$E$21,1))+1)-INDEX($E$12:$E$21,MATCH(($A57+2),$E$12:$E$21,1)))),$F$12) * (($B$9 * (($A57+2)/100)) + (($B$10 * (($A57+2)/100)^2) * $B$12)))</f>
        <v/>
      </c>
      <c r="E57" s="12" t="str">
        <f>IF(($A57+3)&gt;$B$11, "", IFERROR((INDEX($F$12:$F$21,MATCH(($A57+3),$E$12:$E$21,1))+(($A57+3)-INDEX($E$12:$E$21,MATCH(($A57+3),$E$12:$E$21,1)))*(IFERROR(INDEX($F$12:$F$21,MATCH(($A57+3),$E$12:$E$21,1)+1),INDEX($F$12:$F$21,MATCH(($A57+3),$E$12:$E$21,1)))-INDEX($F$12:$F$21,MATCH(($A57+3),$E$12:$E$21,1)))/IF((IFERROR(INDEX($E$12:$E$21,MATCH(($A57+3),$E$12:$E$21,1)+1),INDEX($E$12:$E$21,MATCH(($A57+3),$E$12:$E$21,1))+1)-INDEX($E$12:$E$21,MATCH(($A57+3),$E$12:$E$21,1)))=0,1,IFERROR(INDEX($E$12:$E$21,MATCH(($A57+3),$E$12:$E$21,1)+1),INDEX($E$12:$E$21,MATCH(($A57+3),$E$12:$E$21,1))+1)-INDEX($E$12:$E$21,MATCH(($A57+3),$E$12:$E$21,1)))),$F$12) * (($B$9 * (($A57+3)/100)) + (($B$10 * (($A57+3)/100)^2) * $B$12)))</f>
        <v/>
      </c>
      <c r="F57" s="12" t="str">
        <f>IF(($A57+4)&gt;$B$11, "", IFERROR((INDEX($F$12:$F$21,MATCH(($A57+4),$E$12:$E$21,1))+(($A57+4)-INDEX($E$12:$E$21,MATCH(($A57+4),$E$12:$E$21,1)))*(IFERROR(INDEX($F$12:$F$21,MATCH(($A57+4),$E$12:$E$21,1)+1),INDEX($F$12:$F$21,MATCH(($A57+4),$E$12:$E$21,1)))-INDEX($F$12:$F$21,MATCH(($A57+4),$E$12:$E$21,1)))/IF((IFERROR(INDEX($E$12:$E$21,MATCH(($A57+4),$E$12:$E$21,1)+1),INDEX($E$12:$E$21,MATCH(($A57+4),$E$12:$E$21,1))+1)-INDEX($E$12:$E$21,MATCH(($A57+4),$E$12:$E$21,1)))=0,1,IFERROR(INDEX($E$12:$E$21,MATCH(($A57+4),$E$12:$E$21,1)+1),INDEX($E$12:$E$21,MATCH(($A57+4),$E$12:$E$21,1))+1)-INDEX($E$12:$E$21,MATCH(($A57+4),$E$12:$E$21,1)))),$F$12) * (($B$9 * (($A57+4)/100)) + (($B$10 * (($A57+4)/100)^2) * $B$12)))</f>
        <v/>
      </c>
      <c r="G57" s="12" t="str">
        <f>IF(($A57+5)&gt;$B$11, "", IFERROR((INDEX($F$12:$F$21,MATCH(($A57+5),$E$12:$E$21,1))+(($A57+5)-INDEX($E$12:$E$21,MATCH(($A57+5),$E$12:$E$21,1)))*(IFERROR(INDEX($F$12:$F$21,MATCH(($A57+5),$E$12:$E$21,1)+1),INDEX($F$12:$F$21,MATCH(($A57+5),$E$12:$E$21,1)))-INDEX($F$12:$F$21,MATCH(($A57+5),$E$12:$E$21,1)))/IF((IFERROR(INDEX($E$12:$E$21,MATCH(($A57+5),$E$12:$E$21,1)+1),INDEX($E$12:$E$21,MATCH(($A57+5),$E$12:$E$21,1))+1)-INDEX($E$12:$E$21,MATCH(($A57+5),$E$12:$E$21,1)))=0,1,IFERROR(INDEX($E$12:$E$21,MATCH(($A57+5),$E$12:$E$21,1)+1),INDEX($E$12:$E$21,MATCH(($A57+5),$E$12:$E$21,1))+1)-INDEX($E$12:$E$21,MATCH(($A57+5),$E$12:$E$21,1)))),$F$12) * (($B$9 * (($A57+5)/100)) + (($B$10 * (($A57+5)/100)^2) * $B$12)))</f>
        <v/>
      </c>
      <c r="H57" s="12" t="str">
        <f>IF(($A57+6)&gt;$B$11, "", IFERROR((INDEX($F$12:$F$21,MATCH(($A57+6),$E$12:$E$21,1))+(($A57+6)-INDEX($E$12:$E$21,MATCH(($A57+6),$E$12:$E$21,1)))*(IFERROR(INDEX($F$12:$F$21,MATCH(($A57+6),$E$12:$E$21,1)+1),INDEX($F$12:$F$21,MATCH(($A57+6),$E$12:$E$21,1)))-INDEX($F$12:$F$21,MATCH(($A57+6),$E$12:$E$21,1)))/IF((IFERROR(INDEX($E$12:$E$21,MATCH(($A57+6),$E$12:$E$21,1)+1),INDEX($E$12:$E$21,MATCH(($A57+6),$E$12:$E$21,1))+1)-INDEX($E$12:$E$21,MATCH(($A57+6),$E$12:$E$21,1)))=0,1,IFERROR(INDEX($E$12:$E$21,MATCH(($A57+6),$E$12:$E$21,1)+1),INDEX($E$12:$E$21,MATCH(($A57+6),$E$12:$E$21,1))+1)-INDEX($E$12:$E$21,MATCH(($A57+6),$E$12:$E$21,1)))),$F$12) * (($B$9 * (($A57+6)/100)) + (($B$10 * (($A57+6)/100)^2) * $B$12)))</f>
        <v/>
      </c>
      <c r="I57" s="12" t="str">
        <f>IF(($A57+7)&gt;$B$11, "", IFERROR((INDEX($F$12:$F$21,MATCH(($A57+7),$E$12:$E$21,1))+(($A57+7)-INDEX($E$12:$E$21,MATCH(($A57+7),$E$12:$E$21,1)))*(IFERROR(INDEX($F$12:$F$21,MATCH(($A57+7),$E$12:$E$21,1)+1),INDEX($F$12:$F$21,MATCH(($A57+7),$E$12:$E$21,1)))-INDEX($F$12:$F$21,MATCH(($A57+7),$E$12:$E$21,1)))/IF((IFERROR(INDEX($E$12:$E$21,MATCH(($A57+7),$E$12:$E$21,1)+1),INDEX($E$12:$E$21,MATCH(($A57+7),$E$12:$E$21,1))+1)-INDEX($E$12:$E$21,MATCH(($A57+7),$E$12:$E$21,1)))=0,1,IFERROR(INDEX($E$12:$E$21,MATCH(($A57+7),$E$12:$E$21,1)+1),INDEX($E$12:$E$21,MATCH(($A57+7),$E$12:$E$21,1))+1)-INDEX($E$12:$E$21,MATCH(($A57+7),$E$12:$E$21,1)))),$F$12) * (($B$9 * (($A57+7)/100)) + (($B$10 * (($A57+7)/100)^2) * $B$12)))</f>
        <v/>
      </c>
      <c r="J57" s="12" t="str">
        <f>IF(($A57+8)&gt;$B$11, "", IFERROR((INDEX($F$12:$F$21,MATCH(($A57+8),$E$12:$E$21,1))+(($A57+8)-INDEX($E$12:$E$21,MATCH(($A57+8),$E$12:$E$21,1)))*(IFERROR(INDEX($F$12:$F$21,MATCH(($A57+8),$E$12:$E$21,1)+1),INDEX($F$12:$F$21,MATCH(($A57+8),$E$12:$E$21,1)))-INDEX($F$12:$F$21,MATCH(($A57+8),$E$12:$E$21,1)))/IF((IFERROR(INDEX($E$12:$E$21,MATCH(($A57+8),$E$12:$E$21,1)+1),INDEX($E$12:$E$21,MATCH(($A57+8),$E$12:$E$21,1))+1)-INDEX($E$12:$E$21,MATCH(($A57+8),$E$12:$E$21,1)))=0,1,IFERROR(INDEX($E$12:$E$21,MATCH(($A57+8),$E$12:$E$21,1)+1),INDEX($E$12:$E$21,MATCH(($A57+8),$E$12:$E$21,1))+1)-INDEX($E$12:$E$21,MATCH(($A57+8),$E$12:$E$21,1)))),$F$12) * (($B$9 * (($A57+8)/100)) + (($B$10 * (($A57+8)/100)^2) * $B$12)))</f>
        <v/>
      </c>
      <c r="K57" s="12" t="str">
        <f>IF(($A57+9)&gt;$B$11, "", IFERROR((INDEX($F$12:$F$21,MATCH(($A57+9),$E$12:$E$21,1))+(($A57+9)-INDEX($E$12:$E$21,MATCH(($A57+9),$E$12:$E$21,1)))*(IFERROR(INDEX($F$12:$F$21,MATCH(($A57+9),$E$12:$E$21,1)+1),INDEX($F$12:$F$21,MATCH(($A57+9),$E$12:$E$21,1)))-INDEX($F$12:$F$21,MATCH(($A57+9),$E$12:$E$21,1)))/IF((IFERROR(INDEX($E$12:$E$21,MATCH(($A57+9),$E$12:$E$21,1)+1),INDEX($E$12:$E$21,MATCH(($A57+9),$E$12:$E$21,1))+1)-INDEX($E$12:$E$21,MATCH(($A57+9),$E$12:$E$21,1)))=0,1,IFERROR(INDEX($E$12:$E$21,MATCH(($A57+9),$E$12:$E$21,1)+1),INDEX($E$12:$E$21,MATCH(($A57+9),$E$12:$E$21,1))+1)-INDEX($E$12:$E$21,MATCH(($A57+9),$E$12:$E$21,1)))),$F$12) * (($B$9 * (($A57+9)/100)) + (($B$10 * (($A57+9)/100)^2) * $B$12)))</f>
        <v/>
      </c>
    </row>
    <row r="58">
      <c r="A58" s="11">
        <v>220</v>
      </c>
      <c r="B58" s="12" t="str">
        <f>IF(($A58+0)&gt;$B$11, "", IFERROR((INDEX($F$12:$F$21,MATCH(($A58+0),$E$12:$E$21,1))+(($A58+0)-INDEX($E$12:$E$21,MATCH(($A58+0),$E$12:$E$21,1)))*(IFERROR(INDEX($F$12:$F$21,MATCH(($A58+0),$E$12:$E$21,1)+1),INDEX($F$12:$F$21,MATCH(($A58+0),$E$12:$E$21,1)))-INDEX($F$12:$F$21,MATCH(($A58+0),$E$12:$E$21,1)))/IF((IFERROR(INDEX($E$12:$E$21,MATCH(($A58+0),$E$12:$E$21,1)+1),INDEX($E$12:$E$21,MATCH(($A58+0),$E$12:$E$21,1))+1)-INDEX($E$12:$E$21,MATCH(($A58+0),$E$12:$E$21,1)))=0,1,IFERROR(INDEX($E$12:$E$21,MATCH(($A58+0),$E$12:$E$21,1)+1),INDEX($E$12:$E$21,MATCH(($A58+0),$E$12:$E$21,1))+1)-INDEX($E$12:$E$21,MATCH(($A58+0),$E$12:$E$21,1)))),$F$12) * (($B$9 * (($A58+0)/100)) + (($B$10 * (($A58+0)/100)^2) * $B$12)))</f>
        <v/>
      </c>
      <c r="C58" s="12" t="str">
        <f>IF(($A58+1)&gt;$B$11, "", IFERROR((INDEX($F$12:$F$21,MATCH(($A58+1),$E$12:$E$21,1))+(($A58+1)-INDEX($E$12:$E$21,MATCH(($A58+1),$E$12:$E$21,1)))*(IFERROR(INDEX($F$12:$F$21,MATCH(($A58+1),$E$12:$E$21,1)+1),INDEX($F$12:$F$21,MATCH(($A58+1),$E$12:$E$21,1)))-INDEX($F$12:$F$21,MATCH(($A58+1),$E$12:$E$21,1)))/IF((IFERROR(INDEX($E$12:$E$21,MATCH(($A58+1),$E$12:$E$21,1)+1),INDEX($E$12:$E$21,MATCH(($A58+1),$E$12:$E$21,1))+1)-INDEX($E$12:$E$21,MATCH(($A58+1),$E$12:$E$21,1)))=0,1,IFERROR(INDEX($E$12:$E$21,MATCH(($A58+1),$E$12:$E$21,1)+1),INDEX($E$12:$E$21,MATCH(($A58+1),$E$12:$E$21,1))+1)-INDEX($E$12:$E$21,MATCH(($A58+1),$E$12:$E$21,1)))),$F$12) * (($B$9 * (($A58+1)/100)) + (($B$10 * (($A58+1)/100)^2) * $B$12)))</f>
        <v/>
      </c>
      <c r="D58" s="12" t="str">
        <f>IF(($A58+2)&gt;$B$11, "", IFERROR((INDEX($F$12:$F$21,MATCH(($A58+2),$E$12:$E$21,1))+(($A58+2)-INDEX($E$12:$E$21,MATCH(($A58+2),$E$12:$E$21,1)))*(IFERROR(INDEX($F$12:$F$21,MATCH(($A58+2),$E$12:$E$21,1)+1),INDEX($F$12:$F$21,MATCH(($A58+2),$E$12:$E$21,1)))-INDEX($F$12:$F$21,MATCH(($A58+2),$E$12:$E$21,1)))/IF((IFERROR(INDEX($E$12:$E$21,MATCH(($A58+2),$E$12:$E$21,1)+1),INDEX($E$12:$E$21,MATCH(($A58+2),$E$12:$E$21,1))+1)-INDEX($E$12:$E$21,MATCH(($A58+2),$E$12:$E$21,1)))=0,1,IFERROR(INDEX($E$12:$E$21,MATCH(($A58+2),$E$12:$E$21,1)+1),INDEX($E$12:$E$21,MATCH(($A58+2),$E$12:$E$21,1))+1)-INDEX($E$12:$E$21,MATCH(($A58+2),$E$12:$E$21,1)))),$F$12) * (($B$9 * (($A58+2)/100)) + (($B$10 * (($A58+2)/100)^2) * $B$12)))</f>
        <v/>
      </c>
      <c r="E58" s="12" t="str">
        <f>IF(($A58+3)&gt;$B$11, "", IFERROR((INDEX($F$12:$F$21,MATCH(($A58+3),$E$12:$E$21,1))+(($A58+3)-INDEX($E$12:$E$21,MATCH(($A58+3),$E$12:$E$21,1)))*(IFERROR(INDEX($F$12:$F$21,MATCH(($A58+3),$E$12:$E$21,1)+1),INDEX($F$12:$F$21,MATCH(($A58+3),$E$12:$E$21,1)))-INDEX($F$12:$F$21,MATCH(($A58+3),$E$12:$E$21,1)))/IF((IFERROR(INDEX($E$12:$E$21,MATCH(($A58+3),$E$12:$E$21,1)+1),INDEX($E$12:$E$21,MATCH(($A58+3),$E$12:$E$21,1))+1)-INDEX($E$12:$E$21,MATCH(($A58+3),$E$12:$E$21,1)))=0,1,IFERROR(INDEX($E$12:$E$21,MATCH(($A58+3),$E$12:$E$21,1)+1),INDEX($E$12:$E$21,MATCH(($A58+3),$E$12:$E$21,1))+1)-INDEX($E$12:$E$21,MATCH(($A58+3),$E$12:$E$21,1)))),$F$12) * (($B$9 * (($A58+3)/100)) + (($B$10 * (($A58+3)/100)^2) * $B$12)))</f>
        <v/>
      </c>
      <c r="F58" s="12" t="str">
        <f>IF(($A58+4)&gt;$B$11, "", IFERROR((INDEX($F$12:$F$21,MATCH(($A58+4),$E$12:$E$21,1))+(($A58+4)-INDEX($E$12:$E$21,MATCH(($A58+4),$E$12:$E$21,1)))*(IFERROR(INDEX($F$12:$F$21,MATCH(($A58+4),$E$12:$E$21,1)+1),INDEX($F$12:$F$21,MATCH(($A58+4),$E$12:$E$21,1)))-INDEX($F$12:$F$21,MATCH(($A58+4),$E$12:$E$21,1)))/IF((IFERROR(INDEX($E$12:$E$21,MATCH(($A58+4),$E$12:$E$21,1)+1),INDEX($E$12:$E$21,MATCH(($A58+4),$E$12:$E$21,1))+1)-INDEX($E$12:$E$21,MATCH(($A58+4),$E$12:$E$21,1)))=0,1,IFERROR(INDEX($E$12:$E$21,MATCH(($A58+4),$E$12:$E$21,1)+1),INDEX($E$12:$E$21,MATCH(($A58+4),$E$12:$E$21,1))+1)-INDEX($E$12:$E$21,MATCH(($A58+4),$E$12:$E$21,1)))),$F$12) * (($B$9 * (($A58+4)/100)) + (($B$10 * (($A58+4)/100)^2) * $B$12)))</f>
        <v/>
      </c>
      <c r="G58" s="12" t="str">
        <f>IF(($A58+5)&gt;$B$11, "", IFERROR((INDEX($F$12:$F$21,MATCH(($A58+5),$E$12:$E$21,1))+(($A58+5)-INDEX($E$12:$E$21,MATCH(($A58+5),$E$12:$E$21,1)))*(IFERROR(INDEX($F$12:$F$21,MATCH(($A58+5),$E$12:$E$21,1)+1),INDEX($F$12:$F$21,MATCH(($A58+5),$E$12:$E$21,1)))-INDEX($F$12:$F$21,MATCH(($A58+5),$E$12:$E$21,1)))/IF((IFERROR(INDEX($E$12:$E$21,MATCH(($A58+5),$E$12:$E$21,1)+1),INDEX($E$12:$E$21,MATCH(($A58+5),$E$12:$E$21,1))+1)-INDEX($E$12:$E$21,MATCH(($A58+5),$E$12:$E$21,1)))=0,1,IFERROR(INDEX($E$12:$E$21,MATCH(($A58+5),$E$12:$E$21,1)+1),INDEX($E$12:$E$21,MATCH(($A58+5),$E$12:$E$21,1))+1)-INDEX($E$12:$E$21,MATCH(($A58+5),$E$12:$E$21,1)))),$F$12) * (($B$9 * (($A58+5)/100)) + (($B$10 * (($A58+5)/100)^2) * $B$12)))</f>
        <v/>
      </c>
      <c r="H58" s="12" t="str">
        <f>IF(($A58+6)&gt;$B$11, "", IFERROR((INDEX($F$12:$F$21,MATCH(($A58+6),$E$12:$E$21,1))+(($A58+6)-INDEX($E$12:$E$21,MATCH(($A58+6),$E$12:$E$21,1)))*(IFERROR(INDEX($F$12:$F$21,MATCH(($A58+6),$E$12:$E$21,1)+1),INDEX($F$12:$F$21,MATCH(($A58+6),$E$12:$E$21,1)))-INDEX($F$12:$F$21,MATCH(($A58+6),$E$12:$E$21,1)))/IF((IFERROR(INDEX($E$12:$E$21,MATCH(($A58+6),$E$12:$E$21,1)+1),INDEX($E$12:$E$21,MATCH(($A58+6),$E$12:$E$21,1))+1)-INDEX($E$12:$E$21,MATCH(($A58+6),$E$12:$E$21,1)))=0,1,IFERROR(INDEX($E$12:$E$21,MATCH(($A58+6),$E$12:$E$21,1)+1),INDEX($E$12:$E$21,MATCH(($A58+6),$E$12:$E$21,1))+1)-INDEX($E$12:$E$21,MATCH(($A58+6),$E$12:$E$21,1)))),$F$12) * (($B$9 * (($A58+6)/100)) + (($B$10 * (($A58+6)/100)^2) * $B$12)))</f>
        <v/>
      </c>
      <c r="I58" s="12" t="str">
        <f>IF(($A58+7)&gt;$B$11, "", IFERROR((INDEX($F$12:$F$21,MATCH(($A58+7),$E$12:$E$21,1))+(($A58+7)-INDEX($E$12:$E$21,MATCH(($A58+7),$E$12:$E$21,1)))*(IFERROR(INDEX($F$12:$F$21,MATCH(($A58+7),$E$12:$E$21,1)+1),INDEX($F$12:$F$21,MATCH(($A58+7),$E$12:$E$21,1)))-INDEX($F$12:$F$21,MATCH(($A58+7),$E$12:$E$21,1)))/IF((IFERROR(INDEX($E$12:$E$21,MATCH(($A58+7),$E$12:$E$21,1)+1),INDEX($E$12:$E$21,MATCH(($A58+7),$E$12:$E$21,1))+1)-INDEX($E$12:$E$21,MATCH(($A58+7),$E$12:$E$21,1)))=0,1,IFERROR(INDEX($E$12:$E$21,MATCH(($A58+7),$E$12:$E$21,1)+1),INDEX($E$12:$E$21,MATCH(($A58+7),$E$12:$E$21,1))+1)-INDEX($E$12:$E$21,MATCH(($A58+7),$E$12:$E$21,1)))),$F$12) * (($B$9 * (($A58+7)/100)) + (($B$10 * (($A58+7)/100)^2) * $B$12)))</f>
        <v/>
      </c>
      <c r="J58" s="12" t="str">
        <f>IF(($A58+8)&gt;$B$11, "", IFERROR((INDEX($F$12:$F$21,MATCH(($A58+8),$E$12:$E$21,1))+(($A58+8)-INDEX($E$12:$E$21,MATCH(($A58+8),$E$12:$E$21,1)))*(IFERROR(INDEX($F$12:$F$21,MATCH(($A58+8),$E$12:$E$21,1)+1),INDEX($F$12:$F$21,MATCH(($A58+8),$E$12:$E$21,1)))-INDEX($F$12:$F$21,MATCH(($A58+8),$E$12:$E$21,1)))/IF((IFERROR(INDEX($E$12:$E$21,MATCH(($A58+8),$E$12:$E$21,1)+1),INDEX($E$12:$E$21,MATCH(($A58+8),$E$12:$E$21,1))+1)-INDEX($E$12:$E$21,MATCH(($A58+8),$E$12:$E$21,1)))=0,1,IFERROR(INDEX($E$12:$E$21,MATCH(($A58+8),$E$12:$E$21,1)+1),INDEX($E$12:$E$21,MATCH(($A58+8),$E$12:$E$21,1))+1)-INDEX($E$12:$E$21,MATCH(($A58+8),$E$12:$E$21,1)))),$F$12) * (($B$9 * (($A58+8)/100)) + (($B$10 * (($A58+8)/100)^2) * $B$12)))</f>
        <v/>
      </c>
      <c r="K58" s="12" t="str">
        <f>IF(($A58+9)&gt;$B$11, "", IFERROR((INDEX($F$12:$F$21,MATCH(($A58+9),$E$12:$E$21,1))+(($A58+9)-INDEX($E$12:$E$21,MATCH(($A58+9),$E$12:$E$21,1)))*(IFERROR(INDEX($F$12:$F$21,MATCH(($A58+9),$E$12:$E$21,1)+1),INDEX($F$12:$F$21,MATCH(($A58+9),$E$12:$E$21,1)))-INDEX($F$12:$F$21,MATCH(($A58+9),$E$12:$E$21,1)))/IF((IFERROR(INDEX($E$12:$E$21,MATCH(($A58+9),$E$12:$E$21,1)+1),INDEX($E$12:$E$21,MATCH(($A58+9),$E$12:$E$21,1))+1)-INDEX($E$12:$E$21,MATCH(($A58+9),$E$12:$E$21,1)))=0,1,IFERROR(INDEX($E$12:$E$21,MATCH(($A58+9),$E$12:$E$21,1)+1),INDEX($E$12:$E$21,MATCH(($A58+9),$E$12:$E$21,1))+1)-INDEX($E$12:$E$21,MATCH(($A58+9),$E$12:$E$21,1)))),$F$12) * (($B$9 * (($A58+9)/100)) + (($B$10 * (($A58+9)/100)^2) * $B$12)))</f>
        <v/>
      </c>
    </row>
    <row r="59">
      <c r="A59" s="11">
        <v>230</v>
      </c>
      <c r="B59" s="12" t="str">
        <f>IF(($A59+0)&gt;$B$11, "", IFERROR((INDEX($F$12:$F$21,MATCH(($A59+0),$E$12:$E$21,1))+(($A59+0)-INDEX($E$12:$E$21,MATCH(($A59+0),$E$12:$E$21,1)))*(IFERROR(INDEX($F$12:$F$21,MATCH(($A59+0),$E$12:$E$21,1)+1),INDEX($F$12:$F$21,MATCH(($A59+0),$E$12:$E$21,1)))-INDEX($F$12:$F$21,MATCH(($A59+0),$E$12:$E$21,1)))/IF((IFERROR(INDEX($E$12:$E$21,MATCH(($A59+0),$E$12:$E$21,1)+1),INDEX($E$12:$E$21,MATCH(($A59+0),$E$12:$E$21,1))+1)-INDEX($E$12:$E$21,MATCH(($A59+0),$E$12:$E$21,1)))=0,1,IFERROR(INDEX($E$12:$E$21,MATCH(($A59+0),$E$12:$E$21,1)+1),INDEX($E$12:$E$21,MATCH(($A59+0),$E$12:$E$21,1))+1)-INDEX($E$12:$E$21,MATCH(($A59+0),$E$12:$E$21,1)))),$F$12) * (($B$9 * (($A59+0)/100)) + (($B$10 * (($A59+0)/100)^2) * $B$12)))</f>
        <v/>
      </c>
      <c r="C59" s="12" t="str">
        <f>IF(($A59+1)&gt;$B$11, "", IFERROR((INDEX($F$12:$F$21,MATCH(($A59+1),$E$12:$E$21,1))+(($A59+1)-INDEX($E$12:$E$21,MATCH(($A59+1),$E$12:$E$21,1)))*(IFERROR(INDEX($F$12:$F$21,MATCH(($A59+1),$E$12:$E$21,1)+1),INDEX($F$12:$F$21,MATCH(($A59+1),$E$12:$E$21,1)))-INDEX($F$12:$F$21,MATCH(($A59+1),$E$12:$E$21,1)))/IF((IFERROR(INDEX($E$12:$E$21,MATCH(($A59+1),$E$12:$E$21,1)+1),INDEX($E$12:$E$21,MATCH(($A59+1),$E$12:$E$21,1))+1)-INDEX($E$12:$E$21,MATCH(($A59+1),$E$12:$E$21,1)))=0,1,IFERROR(INDEX($E$12:$E$21,MATCH(($A59+1),$E$12:$E$21,1)+1),INDEX($E$12:$E$21,MATCH(($A59+1),$E$12:$E$21,1))+1)-INDEX($E$12:$E$21,MATCH(($A59+1),$E$12:$E$21,1)))),$F$12) * (($B$9 * (($A59+1)/100)) + (($B$10 * (($A59+1)/100)^2) * $B$12)))</f>
        <v/>
      </c>
      <c r="D59" s="12" t="str">
        <f>IF(($A59+2)&gt;$B$11, "", IFERROR((INDEX($F$12:$F$21,MATCH(($A59+2),$E$12:$E$21,1))+(($A59+2)-INDEX($E$12:$E$21,MATCH(($A59+2),$E$12:$E$21,1)))*(IFERROR(INDEX($F$12:$F$21,MATCH(($A59+2),$E$12:$E$21,1)+1),INDEX($F$12:$F$21,MATCH(($A59+2),$E$12:$E$21,1)))-INDEX($F$12:$F$21,MATCH(($A59+2),$E$12:$E$21,1)))/IF((IFERROR(INDEX($E$12:$E$21,MATCH(($A59+2),$E$12:$E$21,1)+1),INDEX($E$12:$E$21,MATCH(($A59+2),$E$12:$E$21,1))+1)-INDEX($E$12:$E$21,MATCH(($A59+2),$E$12:$E$21,1)))=0,1,IFERROR(INDEX($E$12:$E$21,MATCH(($A59+2),$E$12:$E$21,1)+1),INDEX($E$12:$E$21,MATCH(($A59+2),$E$12:$E$21,1))+1)-INDEX($E$12:$E$21,MATCH(($A59+2),$E$12:$E$21,1)))),$F$12) * (($B$9 * (($A59+2)/100)) + (($B$10 * (($A59+2)/100)^2) * $B$12)))</f>
        <v/>
      </c>
      <c r="E59" s="12" t="str">
        <f>IF(($A59+3)&gt;$B$11, "", IFERROR((INDEX($F$12:$F$21,MATCH(($A59+3),$E$12:$E$21,1))+(($A59+3)-INDEX($E$12:$E$21,MATCH(($A59+3),$E$12:$E$21,1)))*(IFERROR(INDEX($F$12:$F$21,MATCH(($A59+3),$E$12:$E$21,1)+1),INDEX($F$12:$F$21,MATCH(($A59+3),$E$12:$E$21,1)))-INDEX($F$12:$F$21,MATCH(($A59+3),$E$12:$E$21,1)))/IF((IFERROR(INDEX($E$12:$E$21,MATCH(($A59+3),$E$12:$E$21,1)+1),INDEX($E$12:$E$21,MATCH(($A59+3),$E$12:$E$21,1))+1)-INDEX($E$12:$E$21,MATCH(($A59+3),$E$12:$E$21,1)))=0,1,IFERROR(INDEX($E$12:$E$21,MATCH(($A59+3),$E$12:$E$21,1)+1),INDEX($E$12:$E$21,MATCH(($A59+3),$E$12:$E$21,1))+1)-INDEX($E$12:$E$21,MATCH(($A59+3),$E$12:$E$21,1)))),$F$12) * (($B$9 * (($A59+3)/100)) + (($B$10 * (($A59+3)/100)^2) * $B$12)))</f>
        <v/>
      </c>
      <c r="F59" s="12" t="str">
        <f>IF(($A59+4)&gt;$B$11, "", IFERROR((INDEX($F$12:$F$21,MATCH(($A59+4),$E$12:$E$21,1))+(($A59+4)-INDEX($E$12:$E$21,MATCH(($A59+4),$E$12:$E$21,1)))*(IFERROR(INDEX($F$12:$F$21,MATCH(($A59+4),$E$12:$E$21,1)+1),INDEX($F$12:$F$21,MATCH(($A59+4),$E$12:$E$21,1)))-INDEX($F$12:$F$21,MATCH(($A59+4),$E$12:$E$21,1)))/IF((IFERROR(INDEX($E$12:$E$21,MATCH(($A59+4),$E$12:$E$21,1)+1),INDEX($E$12:$E$21,MATCH(($A59+4),$E$12:$E$21,1))+1)-INDEX($E$12:$E$21,MATCH(($A59+4),$E$12:$E$21,1)))=0,1,IFERROR(INDEX($E$12:$E$21,MATCH(($A59+4),$E$12:$E$21,1)+1),INDEX($E$12:$E$21,MATCH(($A59+4),$E$12:$E$21,1))+1)-INDEX($E$12:$E$21,MATCH(($A59+4),$E$12:$E$21,1)))),$F$12) * (($B$9 * (($A59+4)/100)) + (($B$10 * (($A59+4)/100)^2) * $B$12)))</f>
        <v/>
      </c>
      <c r="G59" s="12" t="str">
        <f>IF(($A59+5)&gt;$B$11, "", IFERROR((INDEX($F$12:$F$21,MATCH(($A59+5),$E$12:$E$21,1))+(($A59+5)-INDEX($E$12:$E$21,MATCH(($A59+5),$E$12:$E$21,1)))*(IFERROR(INDEX($F$12:$F$21,MATCH(($A59+5),$E$12:$E$21,1)+1),INDEX($F$12:$F$21,MATCH(($A59+5),$E$12:$E$21,1)))-INDEX($F$12:$F$21,MATCH(($A59+5),$E$12:$E$21,1)))/IF((IFERROR(INDEX($E$12:$E$21,MATCH(($A59+5),$E$12:$E$21,1)+1),INDEX($E$12:$E$21,MATCH(($A59+5),$E$12:$E$21,1))+1)-INDEX($E$12:$E$21,MATCH(($A59+5),$E$12:$E$21,1)))=0,1,IFERROR(INDEX($E$12:$E$21,MATCH(($A59+5),$E$12:$E$21,1)+1),INDEX($E$12:$E$21,MATCH(($A59+5),$E$12:$E$21,1))+1)-INDEX($E$12:$E$21,MATCH(($A59+5),$E$12:$E$21,1)))),$F$12) * (($B$9 * (($A59+5)/100)) + (($B$10 * (($A59+5)/100)^2) * $B$12)))</f>
        <v/>
      </c>
      <c r="H59" s="12" t="str">
        <f>IF(($A59+6)&gt;$B$11, "", IFERROR((INDEX($F$12:$F$21,MATCH(($A59+6),$E$12:$E$21,1))+(($A59+6)-INDEX($E$12:$E$21,MATCH(($A59+6),$E$12:$E$21,1)))*(IFERROR(INDEX($F$12:$F$21,MATCH(($A59+6),$E$12:$E$21,1)+1),INDEX($F$12:$F$21,MATCH(($A59+6),$E$12:$E$21,1)))-INDEX($F$12:$F$21,MATCH(($A59+6),$E$12:$E$21,1)))/IF((IFERROR(INDEX($E$12:$E$21,MATCH(($A59+6),$E$12:$E$21,1)+1),INDEX($E$12:$E$21,MATCH(($A59+6),$E$12:$E$21,1))+1)-INDEX($E$12:$E$21,MATCH(($A59+6),$E$12:$E$21,1)))=0,1,IFERROR(INDEX($E$12:$E$21,MATCH(($A59+6),$E$12:$E$21,1)+1),INDEX($E$12:$E$21,MATCH(($A59+6),$E$12:$E$21,1))+1)-INDEX($E$12:$E$21,MATCH(($A59+6),$E$12:$E$21,1)))),$F$12) * (($B$9 * (($A59+6)/100)) + (($B$10 * (($A59+6)/100)^2) * $B$12)))</f>
        <v/>
      </c>
      <c r="I59" s="12" t="str">
        <f>IF(($A59+7)&gt;$B$11, "", IFERROR((INDEX($F$12:$F$21,MATCH(($A59+7),$E$12:$E$21,1))+(($A59+7)-INDEX($E$12:$E$21,MATCH(($A59+7),$E$12:$E$21,1)))*(IFERROR(INDEX($F$12:$F$21,MATCH(($A59+7),$E$12:$E$21,1)+1),INDEX($F$12:$F$21,MATCH(($A59+7),$E$12:$E$21,1)))-INDEX($F$12:$F$21,MATCH(($A59+7),$E$12:$E$21,1)))/IF((IFERROR(INDEX($E$12:$E$21,MATCH(($A59+7),$E$12:$E$21,1)+1),INDEX($E$12:$E$21,MATCH(($A59+7),$E$12:$E$21,1))+1)-INDEX($E$12:$E$21,MATCH(($A59+7),$E$12:$E$21,1)))=0,1,IFERROR(INDEX($E$12:$E$21,MATCH(($A59+7),$E$12:$E$21,1)+1),INDEX($E$12:$E$21,MATCH(($A59+7),$E$12:$E$21,1))+1)-INDEX($E$12:$E$21,MATCH(($A59+7),$E$12:$E$21,1)))),$F$12) * (($B$9 * (($A59+7)/100)) + (($B$10 * (($A59+7)/100)^2) * $B$12)))</f>
        <v/>
      </c>
      <c r="J59" s="12" t="str">
        <f>IF(($A59+8)&gt;$B$11, "", IFERROR((INDEX($F$12:$F$21,MATCH(($A59+8),$E$12:$E$21,1))+(($A59+8)-INDEX($E$12:$E$21,MATCH(($A59+8),$E$12:$E$21,1)))*(IFERROR(INDEX($F$12:$F$21,MATCH(($A59+8),$E$12:$E$21,1)+1),INDEX($F$12:$F$21,MATCH(($A59+8),$E$12:$E$21,1)))-INDEX($F$12:$F$21,MATCH(($A59+8),$E$12:$E$21,1)))/IF((IFERROR(INDEX($E$12:$E$21,MATCH(($A59+8),$E$12:$E$21,1)+1),INDEX($E$12:$E$21,MATCH(($A59+8),$E$12:$E$21,1))+1)-INDEX($E$12:$E$21,MATCH(($A59+8),$E$12:$E$21,1)))=0,1,IFERROR(INDEX($E$12:$E$21,MATCH(($A59+8),$E$12:$E$21,1)+1),INDEX($E$12:$E$21,MATCH(($A59+8),$E$12:$E$21,1))+1)-INDEX($E$12:$E$21,MATCH(($A59+8),$E$12:$E$21,1)))),$F$12) * (($B$9 * (($A59+8)/100)) + (($B$10 * (($A59+8)/100)^2) * $B$12)))</f>
        <v/>
      </c>
      <c r="K59" s="12" t="str">
        <f>IF(($A59+9)&gt;$B$11, "", IFERROR((INDEX($F$12:$F$21,MATCH(($A59+9),$E$12:$E$21,1))+(($A59+9)-INDEX($E$12:$E$21,MATCH(($A59+9),$E$12:$E$21,1)))*(IFERROR(INDEX($F$12:$F$21,MATCH(($A59+9),$E$12:$E$21,1)+1),INDEX($F$12:$F$21,MATCH(($A59+9),$E$12:$E$21,1)))-INDEX($F$12:$F$21,MATCH(($A59+9),$E$12:$E$21,1)))/IF((IFERROR(INDEX($E$12:$E$21,MATCH(($A59+9),$E$12:$E$21,1)+1),INDEX($E$12:$E$21,MATCH(($A59+9),$E$12:$E$21,1))+1)-INDEX($E$12:$E$21,MATCH(($A59+9),$E$12:$E$21,1)))=0,1,IFERROR(INDEX($E$12:$E$21,MATCH(($A59+9),$E$12:$E$21,1)+1),INDEX($E$12:$E$21,MATCH(($A59+9),$E$12:$E$21,1))+1)-INDEX($E$12:$E$21,MATCH(($A59+9),$E$12:$E$21,1)))),$F$12) * (($B$9 * (($A59+9)/100)) + (($B$10 * (($A59+9)/100)^2) * $B$12)))</f>
        <v/>
      </c>
    </row>
    <row r="60">
      <c r="A60" s="11">
        <v>240</v>
      </c>
      <c r="B60" s="12" t="str">
        <f>IF(($A60+0)&gt;$B$11, "", IFERROR((INDEX($F$12:$F$21,MATCH(($A60+0),$E$12:$E$21,1))+(($A60+0)-INDEX($E$12:$E$21,MATCH(($A60+0),$E$12:$E$21,1)))*(IFERROR(INDEX($F$12:$F$21,MATCH(($A60+0),$E$12:$E$21,1)+1),INDEX($F$12:$F$21,MATCH(($A60+0),$E$12:$E$21,1)))-INDEX($F$12:$F$21,MATCH(($A60+0),$E$12:$E$21,1)))/IF((IFERROR(INDEX($E$12:$E$21,MATCH(($A60+0),$E$12:$E$21,1)+1),INDEX($E$12:$E$21,MATCH(($A60+0),$E$12:$E$21,1))+1)-INDEX($E$12:$E$21,MATCH(($A60+0),$E$12:$E$21,1)))=0,1,IFERROR(INDEX($E$12:$E$21,MATCH(($A60+0),$E$12:$E$21,1)+1),INDEX($E$12:$E$21,MATCH(($A60+0),$E$12:$E$21,1))+1)-INDEX($E$12:$E$21,MATCH(($A60+0),$E$12:$E$21,1)))),$F$12) * (($B$9 * (($A60+0)/100)) + (($B$10 * (($A60+0)/100)^2) * $B$12)))</f>
        <v/>
      </c>
      <c r="C60" s="12" t="str">
        <f>IF(($A60+1)&gt;$B$11, "", IFERROR((INDEX($F$12:$F$21,MATCH(($A60+1),$E$12:$E$21,1))+(($A60+1)-INDEX($E$12:$E$21,MATCH(($A60+1),$E$12:$E$21,1)))*(IFERROR(INDEX($F$12:$F$21,MATCH(($A60+1),$E$12:$E$21,1)+1),INDEX($F$12:$F$21,MATCH(($A60+1),$E$12:$E$21,1)))-INDEX($F$12:$F$21,MATCH(($A60+1),$E$12:$E$21,1)))/IF((IFERROR(INDEX($E$12:$E$21,MATCH(($A60+1),$E$12:$E$21,1)+1),INDEX($E$12:$E$21,MATCH(($A60+1),$E$12:$E$21,1))+1)-INDEX($E$12:$E$21,MATCH(($A60+1),$E$12:$E$21,1)))=0,1,IFERROR(INDEX($E$12:$E$21,MATCH(($A60+1),$E$12:$E$21,1)+1),INDEX($E$12:$E$21,MATCH(($A60+1),$E$12:$E$21,1))+1)-INDEX($E$12:$E$21,MATCH(($A60+1),$E$12:$E$21,1)))),$F$12) * (($B$9 * (($A60+1)/100)) + (($B$10 * (($A60+1)/100)^2) * $B$12)))</f>
        <v/>
      </c>
      <c r="D60" s="12" t="str">
        <f>IF(($A60+2)&gt;$B$11, "", IFERROR((INDEX($F$12:$F$21,MATCH(($A60+2),$E$12:$E$21,1))+(($A60+2)-INDEX($E$12:$E$21,MATCH(($A60+2),$E$12:$E$21,1)))*(IFERROR(INDEX($F$12:$F$21,MATCH(($A60+2),$E$12:$E$21,1)+1),INDEX($F$12:$F$21,MATCH(($A60+2),$E$12:$E$21,1)))-INDEX($F$12:$F$21,MATCH(($A60+2),$E$12:$E$21,1)))/IF((IFERROR(INDEX($E$12:$E$21,MATCH(($A60+2),$E$12:$E$21,1)+1),INDEX($E$12:$E$21,MATCH(($A60+2),$E$12:$E$21,1))+1)-INDEX($E$12:$E$21,MATCH(($A60+2),$E$12:$E$21,1)))=0,1,IFERROR(INDEX($E$12:$E$21,MATCH(($A60+2),$E$12:$E$21,1)+1),INDEX($E$12:$E$21,MATCH(($A60+2),$E$12:$E$21,1))+1)-INDEX($E$12:$E$21,MATCH(($A60+2),$E$12:$E$21,1)))),$F$12) * (($B$9 * (($A60+2)/100)) + (($B$10 * (($A60+2)/100)^2) * $B$12)))</f>
        <v/>
      </c>
      <c r="E60" s="12" t="str">
        <f>IF(($A60+3)&gt;$B$11, "", IFERROR((INDEX($F$12:$F$21,MATCH(($A60+3),$E$12:$E$21,1))+(($A60+3)-INDEX($E$12:$E$21,MATCH(($A60+3),$E$12:$E$21,1)))*(IFERROR(INDEX($F$12:$F$21,MATCH(($A60+3),$E$12:$E$21,1)+1),INDEX($F$12:$F$21,MATCH(($A60+3),$E$12:$E$21,1)))-INDEX($F$12:$F$21,MATCH(($A60+3),$E$12:$E$21,1)))/IF((IFERROR(INDEX($E$12:$E$21,MATCH(($A60+3),$E$12:$E$21,1)+1),INDEX($E$12:$E$21,MATCH(($A60+3),$E$12:$E$21,1))+1)-INDEX($E$12:$E$21,MATCH(($A60+3),$E$12:$E$21,1)))=0,1,IFERROR(INDEX($E$12:$E$21,MATCH(($A60+3),$E$12:$E$21,1)+1),INDEX($E$12:$E$21,MATCH(($A60+3),$E$12:$E$21,1))+1)-INDEX($E$12:$E$21,MATCH(($A60+3),$E$12:$E$21,1)))),$F$12) * (($B$9 * (($A60+3)/100)) + (($B$10 * (($A60+3)/100)^2) * $B$12)))</f>
        <v/>
      </c>
      <c r="F60" s="12" t="str">
        <f>IF(($A60+4)&gt;$B$11, "", IFERROR((INDEX($F$12:$F$21,MATCH(($A60+4),$E$12:$E$21,1))+(($A60+4)-INDEX($E$12:$E$21,MATCH(($A60+4),$E$12:$E$21,1)))*(IFERROR(INDEX($F$12:$F$21,MATCH(($A60+4),$E$12:$E$21,1)+1),INDEX($F$12:$F$21,MATCH(($A60+4),$E$12:$E$21,1)))-INDEX($F$12:$F$21,MATCH(($A60+4),$E$12:$E$21,1)))/IF((IFERROR(INDEX($E$12:$E$21,MATCH(($A60+4),$E$12:$E$21,1)+1),INDEX($E$12:$E$21,MATCH(($A60+4),$E$12:$E$21,1))+1)-INDEX($E$12:$E$21,MATCH(($A60+4),$E$12:$E$21,1)))=0,1,IFERROR(INDEX($E$12:$E$21,MATCH(($A60+4),$E$12:$E$21,1)+1),INDEX($E$12:$E$21,MATCH(($A60+4),$E$12:$E$21,1))+1)-INDEX($E$12:$E$21,MATCH(($A60+4),$E$12:$E$21,1)))),$F$12) * (($B$9 * (($A60+4)/100)) + (($B$10 * (($A60+4)/100)^2) * $B$12)))</f>
        <v/>
      </c>
      <c r="G60" s="12" t="str">
        <f>IF(($A60+5)&gt;$B$11, "", IFERROR((INDEX($F$12:$F$21,MATCH(($A60+5),$E$12:$E$21,1))+(($A60+5)-INDEX($E$12:$E$21,MATCH(($A60+5),$E$12:$E$21,1)))*(IFERROR(INDEX($F$12:$F$21,MATCH(($A60+5),$E$12:$E$21,1)+1),INDEX($F$12:$F$21,MATCH(($A60+5),$E$12:$E$21,1)))-INDEX($F$12:$F$21,MATCH(($A60+5),$E$12:$E$21,1)))/IF((IFERROR(INDEX($E$12:$E$21,MATCH(($A60+5),$E$12:$E$21,1)+1),INDEX($E$12:$E$21,MATCH(($A60+5),$E$12:$E$21,1))+1)-INDEX($E$12:$E$21,MATCH(($A60+5),$E$12:$E$21,1)))=0,1,IFERROR(INDEX($E$12:$E$21,MATCH(($A60+5),$E$12:$E$21,1)+1),INDEX($E$12:$E$21,MATCH(($A60+5),$E$12:$E$21,1))+1)-INDEX($E$12:$E$21,MATCH(($A60+5),$E$12:$E$21,1)))),$F$12) * (($B$9 * (($A60+5)/100)) + (($B$10 * (($A60+5)/100)^2) * $B$12)))</f>
        <v/>
      </c>
      <c r="H60" s="12" t="str">
        <f>IF(($A60+6)&gt;$B$11, "", IFERROR((INDEX($F$12:$F$21,MATCH(($A60+6),$E$12:$E$21,1))+(($A60+6)-INDEX($E$12:$E$21,MATCH(($A60+6),$E$12:$E$21,1)))*(IFERROR(INDEX($F$12:$F$21,MATCH(($A60+6),$E$12:$E$21,1)+1),INDEX($F$12:$F$21,MATCH(($A60+6),$E$12:$E$21,1)))-INDEX($F$12:$F$21,MATCH(($A60+6),$E$12:$E$21,1)))/IF((IFERROR(INDEX($E$12:$E$21,MATCH(($A60+6),$E$12:$E$21,1)+1),INDEX($E$12:$E$21,MATCH(($A60+6),$E$12:$E$21,1))+1)-INDEX($E$12:$E$21,MATCH(($A60+6),$E$12:$E$21,1)))=0,1,IFERROR(INDEX($E$12:$E$21,MATCH(($A60+6),$E$12:$E$21,1)+1),INDEX($E$12:$E$21,MATCH(($A60+6),$E$12:$E$21,1))+1)-INDEX($E$12:$E$21,MATCH(($A60+6),$E$12:$E$21,1)))),$F$12) * (($B$9 * (($A60+6)/100)) + (($B$10 * (($A60+6)/100)^2) * $B$12)))</f>
        <v/>
      </c>
      <c r="I60" s="12" t="str">
        <f>IF(($A60+7)&gt;$B$11, "", IFERROR((INDEX($F$12:$F$21,MATCH(($A60+7),$E$12:$E$21,1))+(($A60+7)-INDEX($E$12:$E$21,MATCH(($A60+7),$E$12:$E$21,1)))*(IFERROR(INDEX($F$12:$F$21,MATCH(($A60+7),$E$12:$E$21,1)+1),INDEX($F$12:$F$21,MATCH(($A60+7),$E$12:$E$21,1)))-INDEX($F$12:$F$21,MATCH(($A60+7),$E$12:$E$21,1)))/IF((IFERROR(INDEX($E$12:$E$21,MATCH(($A60+7),$E$12:$E$21,1)+1),INDEX($E$12:$E$21,MATCH(($A60+7),$E$12:$E$21,1))+1)-INDEX($E$12:$E$21,MATCH(($A60+7),$E$12:$E$21,1)))=0,1,IFERROR(INDEX($E$12:$E$21,MATCH(($A60+7),$E$12:$E$21,1)+1),INDEX($E$12:$E$21,MATCH(($A60+7),$E$12:$E$21,1))+1)-INDEX($E$12:$E$21,MATCH(($A60+7),$E$12:$E$21,1)))),$F$12) * (($B$9 * (($A60+7)/100)) + (($B$10 * (($A60+7)/100)^2) * $B$12)))</f>
        <v/>
      </c>
      <c r="J60" s="12" t="str">
        <f>IF(($A60+8)&gt;$B$11, "", IFERROR((INDEX($F$12:$F$21,MATCH(($A60+8),$E$12:$E$21,1))+(($A60+8)-INDEX($E$12:$E$21,MATCH(($A60+8),$E$12:$E$21,1)))*(IFERROR(INDEX($F$12:$F$21,MATCH(($A60+8),$E$12:$E$21,1)+1),INDEX($F$12:$F$21,MATCH(($A60+8),$E$12:$E$21,1)))-INDEX($F$12:$F$21,MATCH(($A60+8),$E$12:$E$21,1)))/IF((IFERROR(INDEX($E$12:$E$21,MATCH(($A60+8),$E$12:$E$21,1)+1),INDEX($E$12:$E$21,MATCH(($A60+8),$E$12:$E$21,1))+1)-INDEX($E$12:$E$21,MATCH(($A60+8),$E$12:$E$21,1)))=0,1,IFERROR(INDEX($E$12:$E$21,MATCH(($A60+8),$E$12:$E$21,1)+1),INDEX($E$12:$E$21,MATCH(($A60+8),$E$12:$E$21,1))+1)-INDEX($E$12:$E$21,MATCH(($A60+8),$E$12:$E$21,1)))),$F$12) * (($B$9 * (($A60+8)/100)) + (($B$10 * (($A60+8)/100)^2) * $B$12)))</f>
        <v/>
      </c>
      <c r="K60" s="12" t="str">
        <f>IF(($A60+9)&gt;$B$11, "", IFERROR((INDEX($F$12:$F$21,MATCH(($A60+9),$E$12:$E$21,1))+(($A60+9)-INDEX($E$12:$E$21,MATCH(($A60+9),$E$12:$E$21,1)))*(IFERROR(INDEX($F$12:$F$21,MATCH(($A60+9),$E$12:$E$21,1)+1),INDEX($F$12:$F$21,MATCH(($A60+9),$E$12:$E$21,1)))-INDEX($F$12:$F$21,MATCH(($A60+9),$E$12:$E$21,1)))/IF((IFERROR(INDEX($E$12:$E$21,MATCH(($A60+9),$E$12:$E$21,1)+1),INDEX($E$12:$E$21,MATCH(($A60+9),$E$12:$E$21,1))+1)-INDEX($E$12:$E$21,MATCH(($A60+9),$E$12:$E$21,1)))=0,1,IFERROR(INDEX($E$12:$E$21,MATCH(($A60+9),$E$12:$E$21,1)+1),INDEX($E$12:$E$21,MATCH(($A60+9),$E$12:$E$21,1))+1)-INDEX($E$12:$E$21,MATCH(($A60+9),$E$12:$E$21,1)))),$F$12) * (($B$9 * (($A60+9)/100)) + (($B$10 * (($A60+9)/100)^2) * $B$12)))</f>
        <v/>
      </c>
    </row>
    <row r="61">
      <c r="A61" s="11">
        <v>250</v>
      </c>
      <c r="B61" s="12" t="str">
        <f>IF(($A61+0)&gt;$B$11, "", IFERROR((INDEX($F$12:$F$21,MATCH(($A61+0),$E$12:$E$21,1))+(($A61+0)-INDEX($E$12:$E$21,MATCH(($A61+0),$E$12:$E$21,1)))*(IFERROR(INDEX($F$12:$F$21,MATCH(($A61+0),$E$12:$E$21,1)+1),INDEX($F$12:$F$21,MATCH(($A61+0),$E$12:$E$21,1)))-INDEX($F$12:$F$21,MATCH(($A61+0),$E$12:$E$21,1)))/IF((IFERROR(INDEX($E$12:$E$21,MATCH(($A61+0),$E$12:$E$21,1)+1),INDEX($E$12:$E$21,MATCH(($A61+0),$E$12:$E$21,1))+1)-INDEX($E$12:$E$21,MATCH(($A61+0),$E$12:$E$21,1)))=0,1,IFERROR(INDEX($E$12:$E$21,MATCH(($A61+0),$E$12:$E$21,1)+1),INDEX($E$12:$E$21,MATCH(($A61+0),$E$12:$E$21,1))+1)-INDEX($E$12:$E$21,MATCH(($A61+0),$E$12:$E$21,1)))),$F$12) * (($B$9 * (($A61+0)/100)) + (($B$10 * (($A61+0)/100)^2) * $B$12)))</f>
        <v/>
      </c>
      <c r="C61" s="12" t="str">
        <f>IF(($A61+1)&gt;$B$11, "", IFERROR((INDEX($F$12:$F$21,MATCH(($A61+1),$E$12:$E$21,1))+(($A61+1)-INDEX($E$12:$E$21,MATCH(($A61+1),$E$12:$E$21,1)))*(IFERROR(INDEX($F$12:$F$21,MATCH(($A61+1),$E$12:$E$21,1)+1),INDEX($F$12:$F$21,MATCH(($A61+1),$E$12:$E$21,1)))-INDEX($F$12:$F$21,MATCH(($A61+1),$E$12:$E$21,1)))/IF((IFERROR(INDEX($E$12:$E$21,MATCH(($A61+1),$E$12:$E$21,1)+1),INDEX($E$12:$E$21,MATCH(($A61+1),$E$12:$E$21,1))+1)-INDEX($E$12:$E$21,MATCH(($A61+1),$E$12:$E$21,1)))=0,1,IFERROR(INDEX($E$12:$E$21,MATCH(($A61+1),$E$12:$E$21,1)+1),INDEX($E$12:$E$21,MATCH(($A61+1),$E$12:$E$21,1))+1)-INDEX($E$12:$E$21,MATCH(($A61+1),$E$12:$E$21,1)))),$F$12) * (($B$9 * (($A61+1)/100)) + (($B$10 * (($A61+1)/100)^2) * $B$12)))</f>
        <v/>
      </c>
      <c r="D61" s="12" t="str">
        <f>IF(($A61+2)&gt;$B$11, "", IFERROR((INDEX($F$12:$F$21,MATCH(($A61+2),$E$12:$E$21,1))+(($A61+2)-INDEX($E$12:$E$21,MATCH(($A61+2),$E$12:$E$21,1)))*(IFERROR(INDEX($F$12:$F$21,MATCH(($A61+2),$E$12:$E$21,1)+1),INDEX($F$12:$F$21,MATCH(($A61+2),$E$12:$E$21,1)))-INDEX($F$12:$F$21,MATCH(($A61+2),$E$12:$E$21,1)))/IF((IFERROR(INDEX($E$12:$E$21,MATCH(($A61+2),$E$12:$E$21,1)+1),INDEX($E$12:$E$21,MATCH(($A61+2),$E$12:$E$21,1))+1)-INDEX($E$12:$E$21,MATCH(($A61+2),$E$12:$E$21,1)))=0,1,IFERROR(INDEX($E$12:$E$21,MATCH(($A61+2),$E$12:$E$21,1)+1),INDEX($E$12:$E$21,MATCH(($A61+2),$E$12:$E$21,1))+1)-INDEX($E$12:$E$21,MATCH(($A61+2),$E$12:$E$21,1)))),$F$12) * (($B$9 * (($A61+2)/100)) + (($B$10 * (($A61+2)/100)^2) * $B$12)))</f>
        <v/>
      </c>
      <c r="E61" s="12" t="str">
        <f>IF(($A61+3)&gt;$B$11, "", IFERROR((INDEX($F$12:$F$21,MATCH(($A61+3),$E$12:$E$21,1))+(($A61+3)-INDEX($E$12:$E$21,MATCH(($A61+3),$E$12:$E$21,1)))*(IFERROR(INDEX($F$12:$F$21,MATCH(($A61+3),$E$12:$E$21,1)+1),INDEX($F$12:$F$21,MATCH(($A61+3),$E$12:$E$21,1)))-INDEX($F$12:$F$21,MATCH(($A61+3),$E$12:$E$21,1)))/IF((IFERROR(INDEX($E$12:$E$21,MATCH(($A61+3),$E$12:$E$21,1)+1),INDEX($E$12:$E$21,MATCH(($A61+3),$E$12:$E$21,1))+1)-INDEX($E$12:$E$21,MATCH(($A61+3),$E$12:$E$21,1)))=0,1,IFERROR(INDEX($E$12:$E$21,MATCH(($A61+3),$E$12:$E$21,1)+1),INDEX($E$12:$E$21,MATCH(($A61+3),$E$12:$E$21,1))+1)-INDEX($E$12:$E$21,MATCH(($A61+3),$E$12:$E$21,1)))),$F$12) * (($B$9 * (($A61+3)/100)) + (($B$10 * (($A61+3)/100)^2) * $B$12)))</f>
        <v/>
      </c>
      <c r="F61" s="12" t="str">
        <f>IF(($A61+4)&gt;$B$11, "", IFERROR((INDEX($F$12:$F$21,MATCH(($A61+4),$E$12:$E$21,1))+(($A61+4)-INDEX($E$12:$E$21,MATCH(($A61+4),$E$12:$E$21,1)))*(IFERROR(INDEX($F$12:$F$21,MATCH(($A61+4),$E$12:$E$21,1)+1),INDEX($F$12:$F$21,MATCH(($A61+4),$E$12:$E$21,1)))-INDEX($F$12:$F$21,MATCH(($A61+4),$E$12:$E$21,1)))/IF((IFERROR(INDEX($E$12:$E$21,MATCH(($A61+4),$E$12:$E$21,1)+1),INDEX($E$12:$E$21,MATCH(($A61+4),$E$12:$E$21,1))+1)-INDEX($E$12:$E$21,MATCH(($A61+4),$E$12:$E$21,1)))=0,1,IFERROR(INDEX($E$12:$E$21,MATCH(($A61+4),$E$12:$E$21,1)+1),INDEX($E$12:$E$21,MATCH(($A61+4),$E$12:$E$21,1))+1)-INDEX($E$12:$E$21,MATCH(($A61+4),$E$12:$E$21,1)))),$F$12) * (($B$9 * (($A61+4)/100)) + (($B$10 * (($A61+4)/100)^2) * $B$12)))</f>
        <v/>
      </c>
      <c r="G61" s="12" t="str">
        <f>IF(($A61+5)&gt;$B$11, "", IFERROR((INDEX($F$12:$F$21,MATCH(($A61+5),$E$12:$E$21,1))+(($A61+5)-INDEX($E$12:$E$21,MATCH(($A61+5),$E$12:$E$21,1)))*(IFERROR(INDEX($F$12:$F$21,MATCH(($A61+5),$E$12:$E$21,1)+1),INDEX($F$12:$F$21,MATCH(($A61+5),$E$12:$E$21,1)))-INDEX($F$12:$F$21,MATCH(($A61+5),$E$12:$E$21,1)))/IF((IFERROR(INDEX($E$12:$E$21,MATCH(($A61+5),$E$12:$E$21,1)+1),INDEX($E$12:$E$21,MATCH(($A61+5),$E$12:$E$21,1))+1)-INDEX($E$12:$E$21,MATCH(($A61+5),$E$12:$E$21,1)))=0,1,IFERROR(INDEX($E$12:$E$21,MATCH(($A61+5),$E$12:$E$21,1)+1),INDEX($E$12:$E$21,MATCH(($A61+5),$E$12:$E$21,1))+1)-INDEX($E$12:$E$21,MATCH(($A61+5),$E$12:$E$21,1)))),$F$12) * (($B$9 * (($A61+5)/100)) + (($B$10 * (($A61+5)/100)^2) * $B$12)))</f>
        <v/>
      </c>
      <c r="H61" s="12" t="str">
        <f>IF(($A61+6)&gt;$B$11, "", IFERROR((INDEX($F$12:$F$21,MATCH(($A61+6),$E$12:$E$21,1))+(($A61+6)-INDEX($E$12:$E$21,MATCH(($A61+6),$E$12:$E$21,1)))*(IFERROR(INDEX($F$12:$F$21,MATCH(($A61+6),$E$12:$E$21,1)+1),INDEX($F$12:$F$21,MATCH(($A61+6),$E$12:$E$21,1)))-INDEX($F$12:$F$21,MATCH(($A61+6),$E$12:$E$21,1)))/IF((IFERROR(INDEX($E$12:$E$21,MATCH(($A61+6),$E$12:$E$21,1)+1),INDEX($E$12:$E$21,MATCH(($A61+6),$E$12:$E$21,1))+1)-INDEX($E$12:$E$21,MATCH(($A61+6),$E$12:$E$21,1)))=0,1,IFERROR(INDEX($E$12:$E$21,MATCH(($A61+6),$E$12:$E$21,1)+1),INDEX($E$12:$E$21,MATCH(($A61+6),$E$12:$E$21,1))+1)-INDEX($E$12:$E$21,MATCH(($A61+6),$E$12:$E$21,1)))),$F$12) * (($B$9 * (($A61+6)/100)) + (($B$10 * (($A61+6)/100)^2) * $B$12)))</f>
        <v/>
      </c>
      <c r="I61" s="12" t="str">
        <f>IF(($A61+7)&gt;$B$11, "", IFERROR((INDEX($F$12:$F$21,MATCH(($A61+7),$E$12:$E$21,1))+(($A61+7)-INDEX($E$12:$E$21,MATCH(($A61+7),$E$12:$E$21,1)))*(IFERROR(INDEX($F$12:$F$21,MATCH(($A61+7),$E$12:$E$21,1)+1),INDEX($F$12:$F$21,MATCH(($A61+7),$E$12:$E$21,1)))-INDEX($F$12:$F$21,MATCH(($A61+7),$E$12:$E$21,1)))/IF((IFERROR(INDEX($E$12:$E$21,MATCH(($A61+7),$E$12:$E$21,1)+1),INDEX($E$12:$E$21,MATCH(($A61+7),$E$12:$E$21,1))+1)-INDEX($E$12:$E$21,MATCH(($A61+7),$E$12:$E$21,1)))=0,1,IFERROR(INDEX($E$12:$E$21,MATCH(($A61+7),$E$12:$E$21,1)+1),INDEX($E$12:$E$21,MATCH(($A61+7),$E$12:$E$21,1))+1)-INDEX($E$12:$E$21,MATCH(($A61+7),$E$12:$E$21,1)))),$F$12) * (($B$9 * (($A61+7)/100)) + (($B$10 * (($A61+7)/100)^2) * $B$12)))</f>
        <v/>
      </c>
      <c r="J61" s="12" t="str">
        <f>IF(($A61+8)&gt;$B$11, "", IFERROR((INDEX($F$12:$F$21,MATCH(($A61+8),$E$12:$E$21,1))+(($A61+8)-INDEX($E$12:$E$21,MATCH(($A61+8),$E$12:$E$21,1)))*(IFERROR(INDEX($F$12:$F$21,MATCH(($A61+8),$E$12:$E$21,1)+1),INDEX($F$12:$F$21,MATCH(($A61+8),$E$12:$E$21,1)))-INDEX($F$12:$F$21,MATCH(($A61+8),$E$12:$E$21,1)))/IF((IFERROR(INDEX($E$12:$E$21,MATCH(($A61+8),$E$12:$E$21,1)+1),INDEX($E$12:$E$21,MATCH(($A61+8),$E$12:$E$21,1))+1)-INDEX($E$12:$E$21,MATCH(($A61+8),$E$12:$E$21,1)))=0,1,IFERROR(INDEX($E$12:$E$21,MATCH(($A61+8),$E$12:$E$21,1)+1),INDEX($E$12:$E$21,MATCH(($A61+8),$E$12:$E$21,1))+1)-INDEX($E$12:$E$21,MATCH(($A61+8),$E$12:$E$21,1)))),$F$12) * (($B$9 * (($A61+8)/100)) + (($B$10 * (($A61+8)/100)^2) * $B$12)))</f>
        <v/>
      </c>
      <c r="K61" s="12" t="str">
        <f>IF(($A61+9)&gt;$B$11, "", IFERROR((INDEX($F$12:$F$21,MATCH(($A61+9),$E$12:$E$21,1))+(($A61+9)-INDEX($E$12:$E$21,MATCH(($A61+9),$E$12:$E$21,1)))*(IFERROR(INDEX($F$12:$F$21,MATCH(($A61+9),$E$12:$E$21,1)+1),INDEX($F$12:$F$21,MATCH(($A61+9),$E$12:$E$21,1)))-INDEX($F$12:$F$21,MATCH(($A61+9),$E$12:$E$21,1)))/IF((IFERROR(INDEX($E$12:$E$21,MATCH(($A61+9),$E$12:$E$21,1)+1),INDEX($E$12:$E$21,MATCH(($A61+9),$E$12:$E$21,1))+1)-INDEX($E$12:$E$21,MATCH(($A61+9),$E$12:$E$21,1)))=0,1,IFERROR(INDEX($E$12:$E$21,MATCH(($A61+9),$E$12:$E$21,1)+1),INDEX($E$12:$E$21,MATCH(($A61+9),$E$12:$E$21,1))+1)-INDEX($E$12:$E$21,MATCH(($A61+9),$E$12:$E$21,1)))),$F$12) * (($B$9 * (($A61+9)/100)) + (($B$10 * (($A61+9)/100)^2) * $B$12)))</f>
        <v/>
      </c>
    </row>
    <row r="62">
      <c r="A62" s="11">
        <v>260</v>
      </c>
      <c r="B62" s="12" t="str">
        <f>IF(($A62+0)&gt;$B$11, "", IFERROR((INDEX($F$12:$F$21,MATCH(($A62+0),$E$12:$E$21,1))+(($A62+0)-INDEX($E$12:$E$21,MATCH(($A62+0),$E$12:$E$21,1)))*(IFERROR(INDEX($F$12:$F$21,MATCH(($A62+0),$E$12:$E$21,1)+1),INDEX($F$12:$F$21,MATCH(($A62+0),$E$12:$E$21,1)))-INDEX($F$12:$F$21,MATCH(($A62+0),$E$12:$E$21,1)))/IF((IFERROR(INDEX($E$12:$E$21,MATCH(($A62+0),$E$12:$E$21,1)+1),INDEX($E$12:$E$21,MATCH(($A62+0),$E$12:$E$21,1))+1)-INDEX($E$12:$E$21,MATCH(($A62+0),$E$12:$E$21,1)))=0,1,IFERROR(INDEX($E$12:$E$21,MATCH(($A62+0),$E$12:$E$21,1)+1),INDEX($E$12:$E$21,MATCH(($A62+0),$E$12:$E$21,1))+1)-INDEX($E$12:$E$21,MATCH(($A62+0),$E$12:$E$21,1)))),$F$12) * (($B$9 * (($A62+0)/100)) + (($B$10 * (($A62+0)/100)^2) * $B$12)))</f>
        <v/>
      </c>
      <c r="C62" s="12" t="str">
        <f>IF(($A62+1)&gt;$B$11, "", IFERROR((INDEX($F$12:$F$21,MATCH(($A62+1),$E$12:$E$21,1))+(($A62+1)-INDEX($E$12:$E$21,MATCH(($A62+1),$E$12:$E$21,1)))*(IFERROR(INDEX($F$12:$F$21,MATCH(($A62+1),$E$12:$E$21,1)+1),INDEX($F$12:$F$21,MATCH(($A62+1),$E$12:$E$21,1)))-INDEX($F$12:$F$21,MATCH(($A62+1),$E$12:$E$21,1)))/IF((IFERROR(INDEX($E$12:$E$21,MATCH(($A62+1),$E$12:$E$21,1)+1),INDEX($E$12:$E$21,MATCH(($A62+1),$E$12:$E$21,1))+1)-INDEX($E$12:$E$21,MATCH(($A62+1),$E$12:$E$21,1)))=0,1,IFERROR(INDEX($E$12:$E$21,MATCH(($A62+1),$E$12:$E$21,1)+1),INDEX($E$12:$E$21,MATCH(($A62+1),$E$12:$E$21,1))+1)-INDEX($E$12:$E$21,MATCH(($A62+1),$E$12:$E$21,1)))),$F$12) * (($B$9 * (($A62+1)/100)) + (($B$10 * (($A62+1)/100)^2) * $B$12)))</f>
        <v/>
      </c>
      <c r="D62" s="12" t="str">
        <f>IF(($A62+2)&gt;$B$11, "", IFERROR((INDEX($F$12:$F$21,MATCH(($A62+2),$E$12:$E$21,1))+(($A62+2)-INDEX($E$12:$E$21,MATCH(($A62+2),$E$12:$E$21,1)))*(IFERROR(INDEX($F$12:$F$21,MATCH(($A62+2),$E$12:$E$21,1)+1),INDEX($F$12:$F$21,MATCH(($A62+2),$E$12:$E$21,1)))-INDEX($F$12:$F$21,MATCH(($A62+2),$E$12:$E$21,1)))/IF((IFERROR(INDEX($E$12:$E$21,MATCH(($A62+2),$E$12:$E$21,1)+1),INDEX($E$12:$E$21,MATCH(($A62+2),$E$12:$E$21,1))+1)-INDEX($E$12:$E$21,MATCH(($A62+2),$E$12:$E$21,1)))=0,1,IFERROR(INDEX($E$12:$E$21,MATCH(($A62+2),$E$12:$E$21,1)+1),INDEX($E$12:$E$21,MATCH(($A62+2),$E$12:$E$21,1))+1)-INDEX($E$12:$E$21,MATCH(($A62+2),$E$12:$E$21,1)))),$F$12) * (($B$9 * (($A62+2)/100)) + (($B$10 * (($A62+2)/100)^2) * $B$12)))</f>
        <v/>
      </c>
      <c r="E62" s="12" t="str">
        <f>IF(($A62+3)&gt;$B$11, "", IFERROR((INDEX($F$12:$F$21,MATCH(($A62+3),$E$12:$E$21,1))+(($A62+3)-INDEX($E$12:$E$21,MATCH(($A62+3),$E$12:$E$21,1)))*(IFERROR(INDEX($F$12:$F$21,MATCH(($A62+3),$E$12:$E$21,1)+1),INDEX($F$12:$F$21,MATCH(($A62+3),$E$12:$E$21,1)))-INDEX($F$12:$F$21,MATCH(($A62+3),$E$12:$E$21,1)))/IF((IFERROR(INDEX($E$12:$E$21,MATCH(($A62+3),$E$12:$E$21,1)+1),INDEX($E$12:$E$21,MATCH(($A62+3),$E$12:$E$21,1))+1)-INDEX($E$12:$E$21,MATCH(($A62+3),$E$12:$E$21,1)))=0,1,IFERROR(INDEX($E$12:$E$21,MATCH(($A62+3),$E$12:$E$21,1)+1),INDEX($E$12:$E$21,MATCH(($A62+3),$E$12:$E$21,1))+1)-INDEX($E$12:$E$21,MATCH(($A62+3),$E$12:$E$21,1)))),$F$12) * (($B$9 * (($A62+3)/100)) + (($B$10 * (($A62+3)/100)^2) * $B$12)))</f>
        <v/>
      </c>
      <c r="F62" s="12" t="str">
        <f>IF(($A62+4)&gt;$B$11, "", IFERROR((INDEX($F$12:$F$21,MATCH(($A62+4),$E$12:$E$21,1))+(($A62+4)-INDEX($E$12:$E$21,MATCH(($A62+4),$E$12:$E$21,1)))*(IFERROR(INDEX($F$12:$F$21,MATCH(($A62+4),$E$12:$E$21,1)+1),INDEX($F$12:$F$21,MATCH(($A62+4),$E$12:$E$21,1)))-INDEX($F$12:$F$21,MATCH(($A62+4),$E$12:$E$21,1)))/IF((IFERROR(INDEX($E$12:$E$21,MATCH(($A62+4),$E$12:$E$21,1)+1),INDEX($E$12:$E$21,MATCH(($A62+4),$E$12:$E$21,1))+1)-INDEX($E$12:$E$21,MATCH(($A62+4),$E$12:$E$21,1)))=0,1,IFERROR(INDEX($E$12:$E$21,MATCH(($A62+4),$E$12:$E$21,1)+1),INDEX($E$12:$E$21,MATCH(($A62+4),$E$12:$E$21,1))+1)-INDEX($E$12:$E$21,MATCH(($A62+4),$E$12:$E$21,1)))),$F$12) * (($B$9 * (($A62+4)/100)) + (($B$10 * (($A62+4)/100)^2) * $B$12)))</f>
        <v/>
      </c>
      <c r="G62" s="12" t="str">
        <f>IF(($A62+5)&gt;$B$11, "", IFERROR((INDEX($F$12:$F$21,MATCH(($A62+5),$E$12:$E$21,1))+(($A62+5)-INDEX($E$12:$E$21,MATCH(($A62+5),$E$12:$E$21,1)))*(IFERROR(INDEX($F$12:$F$21,MATCH(($A62+5),$E$12:$E$21,1)+1),INDEX($F$12:$F$21,MATCH(($A62+5),$E$12:$E$21,1)))-INDEX($F$12:$F$21,MATCH(($A62+5),$E$12:$E$21,1)))/IF((IFERROR(INDEX($E$12:$E$21,MATCH(($A62+5),$E$12:$E$21,1)+1),INDEX($E$12:$E$21,MATCH(($A62+5),$E$12:$E$21,1))+1)-INDEX($E$12:$E$21,MATCH(($A62+5),$E$12:$E$21,1)))=0,1,IFERROR(INDEX($E$12:$E$21,MATCH(($A62+5),$E$12:$E$21,1)+1),INDEX($E$12:$E$21,MATCH(($A62+5),$E$12:$E$21,1))+1)-INDEX($E$12:$E$21,MATCH(($A62+5),$E$12:$E$21,1)))),$F$12) * (($B$9 * (($A62+5)/100)) + (($B$10 * (($A62+5)/100)^2) * $B$12)))</f>
        <v/>
      </c>
      <c r="H62" s="12" t="str">
        <f>IF(($A62+6)&gt;$B$11, "", IFERROR((INDEX($F$12:$F$21,MATCH(($A62+6),$E$12:$E$21,1))+(($A62+6)-INDEX($E$12:$E$21,MATCH(($A62+6),$E$12:$E$21,1)))*(IFERROR(INDEX($F$12:$F$21,MATCH(($A62+6),$E$12:$E$21,1)+1),INDEX($F$12:$F$21,MATCH(($A62+6),$E$12:$E$21,1)))-INDEX($F$12:$F$21,MATCH(($A62+6),$E$12:$E$21,1)))/IF((IFERROR(INDEX($E$12:$E$21,MATCH(($A62+6),$E$12:$E$21,1)+1),INDEX($E$12:$E$21,MATCH(($A62+6),$E$12:$E$21,1))+1)-INDEX($E$12:$E$21,MATCH(($A62+6),$E$12:$E$21,1)))=0,1,IFERROR(INDEX($E$12:$E$21,MATCH(($A62+6),$E$12:$E$21,1)+1),INDEX($E$12:$E$21,MATCH(($A62+6),$E$12:$E$21,1))+1)-INDEX($E$12:$E$21,MATCH(($A62+6),$E$12:$E$21,1)))),$F$12) * (($B$9 * (($A62+6)/100)) + (($B$10 * (($A62+6)/100)^2) * $B$12)))</f>
        <v/>
      </c>
      <c r="I62" s="12" t="str">
        <f>IF(($A62+7)&gt;$B$11, "", IFERROR((INDEX($F$12:$F$21,MATCH(($A62+7),$E$12:$E$21,1))+(($A62+7)-INDEX($E$12:$E$21,MATCH(($A62+7),$E$12:$E$21,1)))*(IFERROR(INDEX($F$12:$F$21,MATCH(($A62+7),$E$12:$E$21,1)+1),INDEX($F$12:$F$21,MATCH(($A62+7),$E$12:$E$21,1)))-INDEX($F$12:$F$21,MATCH(($A62+7),$E$12:$E$21,1)))/IF((IFERROR(INDEX($E$12:$E$21,MATCH(($A62+7),$E$12:$E$21,1)+1),INDEX($E$12:$E$21,MATCH(($A62+7),$E$12:$E$21,1))+1)-INDEX($E$12:$E$21,MATCH(($A62+7),$E$12:$E$21,1)))=0,1,IFERROR(INDEX($E$12:$E$21,MATCH(($A62+7),$E$12:$E$21,1)+1),INDEX($E$12:$E$21,MATCH(($A62+7),$E$12:$E$21,1))+1)-INDEX($E$12:$E$21,MATCH(($A62+7),$E$12:$E$21,1)))),$F$12) * (($B$9 * (($A62+7)/100)) + (($B$10 * (($A62+7)/100)^2) * $B$12)))</f>
        <v/>
      </c>
      <c r="J62" s="12" t="str">
        <f>IF(($A62+8)&gt;$B$11, "", IFERROR((INDEX($F$12:$F$21,MATCH(($A62+8),$E$12:$E$21,1))+(($A62+8)-INDEX($E$12:$E$21,MATCH(($A62+8),$E$12:$E$21,1)))*(IFERROR(INDEX($F$12:$F$21,MATCH(($A62+8),$E$12:$E$21,1)+1),INDEX($F$12:$F$21,MATCH(($A62+8),$E$12:$E$21,1)))-INDEX($F$12:$F$21,MATCH(($A62+8),$E$12:$E$21,1)))/IF((IFERROR(INDEX($E$12:$E$21,MATCH(($A62+8),$E$12:$E$21,1)+1),INDEX($E$12:$E$21,MATCH(($A62+8),$E$12:$E$21,1))+1)-INDEX($E$12:$E$21,MATCH(($A62+8),$E$12:$E$21,1)))=0,1,IFERROR(INDEX($E$12:$E$21,MATCH(($A62+8),$E$12:$E$21,1)+1),INDEX($E$12:$E$21,MATCH(($A62+8),$E$12:$E$21,1))+1)-INDEX($E$12:$E$21,MATCH(($A62+8),$E$12:$E$21,1)))),$F$12) * (($B$9 * (($A62+8)/100)) + (($B$10 * (($A62+8)/100)^2) * $B$12)))</f>
        <v/>
      </c>
      <c r="K62" s="12" t="str">
        <f>IF(($A62+9)&gt;$B$11, "", IFERROR((INDEX($F$12:$F$21,MATCH(($A62+9),$E$12:$E$21,1))+(($A62+9)-INDEX($E$12:$E$21,MATCH(($A62+9),$E$12:$E$21,1)))*(IFERROR(INDEX($F$12:$F$21,MATCH(($A62+9),$E$12:$E$21,1)+1),INDEX($F$12:$F$21,MATCH(($A62+9),$E$12:$E$21,1)))-INDEX($F$12:$F$21,MATCH(($A62+9),$E$12:$E$21,1)))/IF((IFERROR(INDEX($E$12:$E$21,MATCH(($A62+9),$E$12:$E$21,1)+1),INDEX($E$12:$E$21,MATCH(($A62+9),$E$12:$E$21,1))+1)-INDEX($E$12:$E$21,MATCH(($A62+9),$E$12:$E$21,1)))=0,1,IFERROR(INDEX($E$12:$E$21,MATCH(($A62+9),$E$12:$E$21,1)+1),INDEX($E$12:$E$21,MATCH(($A62+9),$E$12:$E$21,1))+1)-INDEX($E$12:$E$21,MATCH(($A62+9),$E$12:$E$21,1)))),$F$12) * (($B$9 * (($A62+9)/100)) + (($B$10 * (($A62+9)/100)^2) * $B$12)))</f>
        <v/>
      </c>
    </row>
    <row r="63">
      <c r="A63" s="11">
        <v>270</v>
      </c>
      <c r="B63" s="12" t="str">
        <f>IF(($A63+0)&gt;$B$11, "", IFERROR((INDEX($F$12:$F$21,MATCH(($A63+0),$E$12:$E$21,1))+(($A63+0)-INDEX($E$12:$E$21,MATCH(($A63+0),$E$12:$E$21,1)))*(IFERROR(INDEX($F$12:$F$21,MATCH(($A63+0),$E$12:$E$21,1)+1),INDEX($F$12:$F$21,MATCH(($A63+0),$E$12:$E$21,1)))-INDEX($F$12:$F$21,MATCH(($A63+0),$E$12:$E$21,1)))/IF((IFERROR(INDEX($E$12:$E$21,MATCH(($A63+0),$E$12:$E$21,1)+1),INDEX($E$12:$E$21,MATCH(($A63+0),$E$12:$E$21,1))+1)-INDEX($E$12:$E$21,MATCH(($A63+0),$E$12:$E$21,1)))=0,1,IFERROR(INDEX($E$12:$E$21,MATCH(($A63+0),$E$12:$E$21,1)+1),INDEX($E$12:$E$21,MATCH(($A63+0),$E$12:$E$21,1))+1)-INDEX($E$12:$E$21,MATCH(($A63+0),$E$12:$E$21,1)))),$F$12) * (($B$9 * (($A63+0)/100)) + (($B$10 * (($A63+0)/100)^2) * $B$12)))</f>
        <v/>
      </c>
      <c r="C63" s="12" t="str">
        <f>IF(($A63+1)&gt;$B$11, "", IFERROR((INDEX($F$12:$F$21,MATCH(($A63+1),$E$12:$E$21,1))+(($A63+1)-INDEX($E$12:$E$21,MATCH(($A63+1),$E$12:$E$21,1)))*(IFERROR(INDEX($F$12:$F$21,MATCH(($A63+1),$E$12:$E$21,1)+1),INDEX($F$12:$F$21,MATCH(($A63+1),$E$12:$E$21,1)))-INDEX($F$12:$F$21,MATCH(($A63+1),$E$12:$E$21,1)))/IF((IFERROR(INDEX($E$12:$E$21,MATCH(($A63+1),$E$12:$E$21,1)+1),INDEX($E$12:$E$21,MATCH(($A63+1),$E$12:$E$21,1))+1)-INDEX($E$12:$E$21,MATCH(($A63+1),$E$12:$E$21,1)))=0,1,IFERROR(INDEX($E$12:$E$21,MATCH(($A63+1),$E$12:$E$21,1)+1),INDEX($E$12:$E$21,MATCH(($A63+1),$E$12:$E$21,1))+1)-INDEX($E$12:$E$21,MATCH(($A63+1),$E$12:$E$21,1)))),$F$12) * (($B$9 * (($A63+1)/100)) + (($B$10 * (($A63+1)/100)^2) * $B$12)))</f>
        <v/>
      </c>
      <c r="D63" s="12" t="str">
        <f>IF(($A63+2)&gt;$B$11, "", IFERROR((INDEX($F$12:$F$21,MATCH(($A63+2),$E$12:$E$21,1))+(($A63+2)-INDEX($E$12:$E$21,MATCH(($A63+2),$E$12:$E$21,1)))*(IFERROR(INDEX($F$12:$F$21,MATCH(($A63+2),$E$12:$E$21,1)+1),INDEX($F$12:$F$21,MATCH(($A63+2),$E$12:$E$21,1)))-INDEX($F$12:$F$21,MATCH(($A63+2),$E$12:$E$21,1)))/IF((IFERROR(INDEX($E$12:$E$21,MATCH(($A63+2),$E$12:$E$21,1)+1),INDEX($E$12:$E$21,MATCH(($A63+2),$E$12:$E$21,1))+1)-INDEX($E$12:$E$21,MATCH(($A63+2),$E$12:$E$21,1)))=0,1,IFERROR(INDEX($E$12:$E$21,MATCH(($A63+2),$E$12:$E$21,1)+1),INDEX($E$12:$E$21,MATCH(($A63+2),$E$12:$E$21,1))+1)-INDEX($E$12:$E$21,MATCH(($A63+2),$E$12:$E$21,1)))),$F$12) * (($B$9 * (($A63+2)/100)) + (($B$10 * (($A63+2)/100)^2) * $B$12)))</f>
        <v/>
      </c>
      <c r="E63" s="12" t="str">
        <f>IF(($A63+3)&gt;$B$11, "", IFERROR((INDEX($F$12:$F$21,MATCH(($A63+3),$E$12:$E$21,1))+(($A63+3)-INDEX($E$12:$E$21,MATCH(($A63+3),$E$12:$E$21,1)))*(IFERROR(INDEX($F$12:$F$21,MATCH(($A63+3),$E$12:$E$21,1)+1),INDEX($F$12:$F$21,MATCH(($A63+3),$E$12:$E$21,1)))-INDEX($F$12:$F$21,MATCH(($A63+3),$E$12:$E$21,1)))/IF((IFERROR(INDEX($E$12:$E$21,MATCH(($A63+3),$E$12:$E$21,1)+1),INDEX($E$12:$E$21,MATCH(($A63+3),$E$12:$E$21,1))+1)-INDEX($E$12:$E$21,MATCH(($A63+3),$E$12:$E$21,1)))=0,1,IFERROR(INDEX($E$12:$E$21,MATCH(($A63+3),$E$12:$E$21,1)+1),INDEX($E$12:$E$21,MATCH(($A63+3),$E$12:$E$21,1))+1)-INDEX($E$12:$E$21,MATCH(($A63+3),$E$12:$E$21,1)))),$F$12) * (($B$9 * (($A63+3)/100)) + (($B$10 * (($A63+3)/100)^2) * $B$12)))</f>
        <v/>
      </c>
      <c r="F63" s="12" t="str">
        <f>IF(($A63+4)&gt;$B$11, "", IFERROR((INDEX($F$12:$F$21,MATCH(($A63+4),$E$12:$E$21,1))+(($A63+4)-INDEX($E$12:$E$21,MATCH(($A63+4),$E$12:$E$21,1)))*(IFERROR(INDEX($F$12:$F$21,MATCH(($A63+4),$E$12:$E$21,1)+1),INDEX($F$12:$F$21,MATCH(($A63+4),$E$12:$E$21,1)))-INDEX($F$12:$F$21,MATCH(($A63+4),$E$12:$E$21,1)))/IF((IFERROR(INDEX($E$12:$E$21,MATCH(($A63+4),$E$12:$E$21,1)+1),INDEX($E$12:$E$21,MATCH(($A63+4),$E$12:$E$21,1))+1)-INDEX($E$12:$E$21,MATCH(($A63+4),$E$12:$E$21,1)))=0,1,IFERROR(INDEX($E$12:$E$21,MATCH(($A63+4),$E$12:$E$21,1)+1),INDEX($E$12:$E$21,MATCH(($A63+4),$E$12:$E$21,1))+1)-INDEX($E$12:$E$21,MATCH(($A63+4),$E$12:$E$21,1)))),$F$12) * (($B$9 * (($A63+4)/100)) + (($B$10 * (($A63+4)/100)^2) * $B$12)))</f>
        <v/>
      </c>
      <c r="G63" s="12" t="str">
        <f>IF(($A63+5)&gt;$B$11, "", IFERROR((INDEX($F$12:$F$21,MATCH(($A63+5),$E$12:$E$21,1))+(($A63+5)-INDEX($E$12:$E$21,MATCH(($A63+5),$E$12:$E$21,1)))*(IFERROR(INDEX($F$12:$F$21,MATCH(($A63+5),$E$12:$E$21,1)+1),INDEX($F$12:$F$21,MATCH(($A63+5),$E$12:$E$21,1)))-INDEX($F$12:$F$21,MATCH(($A63+5),$E$12:$E$21,1)))/IF((IFERROR(INDEX($E$12:$E$21,MATCH(($A63+5),$E$12:$E$21,1)+1),INDEX($E$12:$E$21,MATCH(($A63+5),$E$12:$E$21,1))+1)-INDEX($E$12:$E$21,MATCH(($A63+5),$E$12:$E$21,1)))=0,1,IFERROR(INDEX($E$12:$E$21,MATCH(($A63+5),$E$12:$E$21,1)+1),INDEX($E$12:$E$21,MATCH(($A63+5),$E$12:$E$21,1))+1)-INDEX($E$12:$E$21,MATCH(($A63+5),$E$12:$E$21,1)))),$F$12) * (($B$9 * (($A63+5)/100)) + (($B$10 * (($A63+5)/100)^2) * $B$12)))</f>
        <v/>
      </c>
      <c r="H63" s="12" t="str">
        <f>IF(($A63+6)&gt;$B$11, "", IFERROR((INDEX($F$12:$F$21,MATCH(($A63+6),$E$12:$E$21,1))+(($A63+6)-INDEX($E$12:$E$21,MATCH(($A63+6),$E$12:$E$21,1)))*(IFERROR(INDEX($F$12:$F$21,MATCH(($A63+6),$E$12:$E$21,1)+1),INDEX($F$12:$F$21,MATCH(($A63+6),$E$12:$E$21,1)))-INDEX($F$12:$F$21,MATCH(($A63+6),$E$12:$E$21,1)))/IF((IFERROR(INDEX($E$12:$E$21,MATCH(($A63+6),$E$12:$E$21,1)+1),INDEX($E$12:$E$21,MATCH(($A63+6),$E$12:$E$21,1))+1)-INDEX($E$12:$E$21,MATCH(($A63+6),$E$12:$E$21,1)))=0,1,IFERROR(INDEX($E$12:$E$21,MATCH(($A63+6),$E$12:$E$21,1)+1),INDEX($E$12:$E$21,MATCH(($A63+6),$E$12:$E$21,1))+1)-INDEX($E$12:$E$21,MATCH(($A63+6),$E$12:$E$21,1)))),$F$12) * (($B$9 * (($A63+6)/100)) + (($B$10 * (($A63+6)/100)^2) * $B$12)))</f>
        <v/>
      </c>
      <c r="I63" s="12" t="str">
        <f>IF(($A63+7)&gt;$B$11, "", IFERROR((INDEX($F$12:$F$21,MATCH(($A63+7),$E$12:$E$21,1))+(($A63+7)-INDEX($E$12:$E$21,MATCH(($A63+7),$E$12:$E$21,1)))*(IFERROR(INDEX($F$12:$F$21,MATCH(($A63+7),$E$12:$E$21,1)+1),INDEX($F$12:$F$21,MATCH(($A63+7),$E$12:$E$21,1)))-INDEX($F$12:$F$21,MATCH(($A63+7),$E$12:$E$21,1)))/IF((IFERROR(INDEX($E$12:$E$21,MATCH(($A63+7),$E$12:$E$21,1)+1),INDEX($E$12:$E$21,MATCH(($A63+7),$E$12:$E$21,1))+1)-INDEX($E$12:$E$21,MATCH(($A63+7),$E$12:$E$21,1)))=0,1,IFERROR(INDEX($E$12:$E$21,MATCH(($A63+7),$E$12:$E$21,1)+1),INDEX($E$12:$E$21,MATCH(($A63+7),$E$12:$E$21,1))+1)-INDEX($E$12:$E$21,MATCH(($A63+7),$E$12:$E$21,1)))),$F$12) * (($B$9 * (($A63+7)/100)) + (($B$10 * (($A63+7)/100)^2) * $B$12)))</f>
        <v/>
      </c>
      <c r="J63" s="12" t="str">
        <f>IF(($A63+8)&gt;$B$11, "", IFERROR((INDEX($F$12:$F$21,MATCH(($A63+8),$E$12:$E$21,1))+(($A63+8)-INDEX($E$12:$E$21,MATCH(($A63+8),$E$12:$E$21,1)))*(IFERROR(INDEX($F$12:$F$21,MATCH(($A63+8),$E$12:$E$21,1)+1),INDEX($F$12:$F$21,MATCH(($A63+8),$E$12:$E$21,1)))-INDEX($F$12:$F$21,MATCH(($A63+8),$E$12:$E$21,1)))/IF((IFERROR(INDEX($E$12:$E$21,MATCH(($A63+8),$E$12:$E$21,1)+1),INDEX($E$12:$E$21,MATCH(($A63+8),$E$12:$E$21,1))+1)-INDEX($E$12:$E$21,MATCH(($A63+8),$E$12:$E$21,1)))=0,1,IFERROR(INDEX($E$12:$E$21,MATCH(($A63+8),$E$12:$E$21,1)+1),INDEX($E$12:$E$21,MATCH(($A63+8),$E$12:$E$21,1))+1)-INDEX($E$12:$E$21,MATCH(($A63+8),$E$12:$E$21,1)))),$F$12) * (($B$9 * (($A63+8)/100)) + (($B$10 * (($A63+8)/100)^2) * $B$12)))</f>
        <v/>
      </c>
      <c r="K63" s="12" t="str">
        <f>IF(($A63+9)&gt;$B$11, "", IFERROR((INDEX($F$12:$F$21,MATCH(($A63+9),$E$12:$E$21,1))+(($A63+9)-INDEX($E$12:$E$21,MATCH(($A63+9),$E$12:$E$21,1)))*(IFERROR(INDEX($F$12:$F$21,MATCH(($A63+9),$E$12:$E$21,1)+1),INDEX($F$12:$F$21,MATCH(($A63+9),$E$12:$E$21,1)))-INDEX($F$12:$F$21,MATCH(($A63+9),$E$12:$E$21,1)))/IF((IFERROR(INDEX($E$12:$E$21,MATCH(($A63+9),$E$12:$E$21,1)+1),INDEX($E$12:$E$21,MATCH(($A63+9),$E$12:$E$21,1))+1)-INDEX($E$12:$E$21,MATCH(($A63+9),$E$12:$E$21,1)))=0,1,IFERROR(INDEX($E$12:$E$21,MATCH(($A63+9),$E$12:$E$21,1)+1),INDEX($E$12:$E$21,MATCH(($A63+9),$E$12:$E$21,1))+1)-INDEX($E$12:$E$21,MATCH(($A63+9),$E$12:$E$21,1)))),$F$12) * (($B$9 * (($A63+9)/100)) + (($B$10 * (($A63+9)/100)^2) * $B$12)))</f>
        <v/>
      </c>
    </row>
    <row r="64">
      <c r="A64" s="11">
        <v>280</v>
      </c>
      <c r="B64" s="12" t="str">
        <f>IF(($A64+0)&gt;$B$11, "", IFERROR((INDEX($F$12:$F$21,MATCH(($A64+0),$E$12:$E$21,1))+(($A64+0)-INDEX($E$12:$E$21,MATCH(($A64+0),$E$12:$E$21,1)))*(IFERROR(INDEX($F$12:$F$21,MATCH(($A64+0),$E$12:$E$21,1)+1),INDEX($F$12:$F$21,MATCH(($A64+0),$E$12:$E$21,1)))-INDEX($F$12:$F$21,MATCH(($A64+0),$E$12:$E$21,1)))/IF((IFERROR(INDEX($E$12:$E$21,MATCH(($A64+0),$E$12:$E$21,1)+1),INDEX($E$12:$E$21,MATCH(($A64+0),$E$12:$E$21,1))+1)-INDEX($E$12:$E$21,MATCH(($A64+0),$E$12:$E$21,1)))=0,1,IFERROR(INDEX($E$12:$E$21,MATCH(($A64+0),$E$12:$E$21,1)+1),INDEX($E$12:$E$21,MATCH(($A64+0),$E$12:$E$21,1))+1)-INDEX($E$12:$E$21,MATCH(($A64+0),$E$12:$E$21,1)))),$F$12) * (($B$9 * (($A64+0)/100)) + (($B$10 * (($A64+0)/100)^2) * $B$12)))</f>
        <v/>
      </c>
      <c r="C64" s="12" t="str">
        <f>IF(($A64+1)&gt;$B$11, "", IFERROR((INDEX($F$12:$F$21,MATCH(($A64+1),$E$12:$E$21,1))+(($A64+1)-INDEX($E$12:$E$21,MATCH(($A64+1),$E$12:$E$21,1)))*(IFERROR(INDEX($F$12:$F$21,MATCH(($A64+1),$E$12:$E$21,1)+1),INDEX($F$12:$F$21,MATCH(($A64+1),$E$12:$E$21,1)))-INDEX($F$12:$F$21,MATCH(($A64+1),$E$12:$E$21,1)))/IF((IFERROR(INDEX($E$12:$E$21,MATCH(($A64+1),$E$12:$E$21,1)+1),INDEX($E$12:$E$21,MATCH(($A64+1),$E$12:$E$21,1))+1)-INDEX($E$12:$E$21,MATCH(($A64+1),$E$12:$E$21,1)))=0,1,IFERROR(INDEX($E$12:$E$21,MATCH(($A64+1),$E$12:$E$21,1)+1),INDEX($E$12:$E$21,MATCH(($A64+1),$E$12:$E$21,1))+1)-INDEX($E$12:$E$21,MATCH(($A64+1),$E$12:$E$21,1)))),$F$12) * (($B$9 * (($A64+1)/100)) + (($B$10 * (($A64+1)/100)^2) * $B$12)))</f>
        <v/>
      </c>
      <c r="D64" s="12" t="str">
        <f>IF(($A64+2)&gt;$B$11, "", IFERROR((INDEX($F$12:$F$21,MATCH(($A64+2),$E$12:$E$21,1))+(($A64+2)-INDEX($E$12:$E$21,MATCH(($A64+2),$E$12:$E$21,1)))*(IFERROR(INDEX($F$12:$F$21,MATCH(($A64+2),$E$12:$E$21,1)+1),INDEX($F$12:$F$21,MATCH(($A64+2),$E$12:$E$21,1)))-INDEX($F$12:$F$21,MATCH(($A64+2),$E$12:$E$21,1)))/IF((IFERROR(INDEX($E$12:$E$21,MATCH(($A64+2),$E$12:$E$21,1)+1),INDEX($E$12:$E$21,MATCH(($A64+2),$E$12:$E$21,1))+1)-INDEX($E$12:$E$21,MATCH(($A64+2),$E$12:$E$21,1)))=0,1,IFERROR(INDEX($E$12:$E$21,MATCH(($A64+2),$E$12:$E$21,1)+1),INDEX($E$12:$E$21,MATCH(($A64+2),$E$12:$E$21,1))+1)-INDEX($E$12:$E$21,MATCH(($A64+2),$E$12:$E$21,1)))),$F$12) * (($B$9 * (($A64+2)/100)) + (($B$10 * (($A64+2)/100)^2) * $B$12)))</f>
        <v/>
      </c>
      <c r="E64" s="12" t="str">
        <f>IF(($A64+3)&gt;$B$11, "", IFERROR((INDEX($F$12:$F$21,MATCH(($A64+3),$E$12:$E$21,1))+(($A64+3)-INDEX($E$12:$E$21,MATCH(($A64+3),$E$12:$E$21,1)))*(IFERROR(INDEX($F$12:$F$21,MATCH(($A64+3),$E$12:$E$21,1)+1),INDEX($F$12:$F$21,MATCH(($A64+3),$E$12:$E$21,1)))-INDEX($F$12:$F$21,MATCH(($A64+3),$E$12:$E$21,1)))/IF((IFERROR(INDEX($E$12:$E$21,MATCH(($A64+3),$E$12:$E$21,1)+1),INDEX($E$12:$E$21,MATCH(($A64+3),$E$12:$E$21,1))+1)-INDEX($E$12:$E$21,MATCH(($A64+3),$E$12:$E$21,1)))=0,1,IFERROR(INDEX($E$12:$E$21,MATCH(($A64+3),$E$12:$E$21,1)+1),INDEX($E$12:$E$21,MATCH(($A64+3),$E$12:$E$21,1))+1)-INDEX($E$12:$E$21,MATCH(($A64+3),$E$12:$E$21,1)))),$F$12) * (($B$9 * (($A64+3)/100)) + (($B$10 * (($A64+3)/100)^2) * $B$12)))</f>
        <v/>
      </c>
      <c r="F64" s="12" t="str">
        <f>IF(($A64+4)&gt;$B$11, "", IFERROR((INDEX($F$12:$F$21,MATCH(($A64+4),$E$12:$E$21,1))+(($A64+4)-INDEX($E$12:$E$21,MATCH(($A64+4),$E$12:$E$21,1)))*(IFERROR(INDEX($F$12:$F$21,MATCH(($A64+4),$E$12:$E$21,1)+1),INDEX($F$12:$F$21,MATCH(($A64+4),$E$12:$E$21,1)))-INDEX($F$12:$F$21,MATCH(($A64+4),$E$12:$E$21,1)))/IF((IFERROR(INDEX($E$12:$E$21,MATCH(($A64+4),$E$12:$E$21,1)+1),INDEX($E$12:$E$21,MATCH(($A64+4),$E$12:$E$21,1))+1)-INDEX($E$12:$E$21,MATCH(($A64+4),$E$12:$E$21,1)))=0,1,IFERROR(INDEX($E$12:$E$21,MATCH(($A64+4),$E$12:$E$21,1)+1),INDEX($E$12:$E$21,MATCH(($A64+4),$E$12:$E$21,1))+1)-INDEX($E$12:$E$21,MATCH(($A64+4),$E$12:$E$21,1)))),$F$12) * (($B$9 * (($A64+4)/100)) + (($B$10 * (($A64+4)/100)^2) * $B$12)))</f>
        <v/>
      </c>
      <c r="G64" s="12" t="str">
        <f>IF(($A64+5)&gt;$B$11, "", IFERROR((INDEX($F$12:$F$21,MATCH(($A64+5),$E$12:$E$21,1))+(($A64+5)-INDEX($E$12:$E$21,MATCH(($A64+5),$E$12:$E$21,1)))*(IFERROR(INDEX($F$12:$F$21,MATCH(($A64+5),$E$12:$E$21,1)+1),INDEX($F$12:$F$21,MATCH(($A64+5),$E$12:$E$21,1)))-INDEX($F$12:$F$21,MATCH(($A64+5),$E$12:$E$21,1)))/IF((IFERROR(INDEX($E$12:$E$21,MATCH(($A64+5),$E$12:$E$21,1)+1),INDEX($E$12:$E$21,MATCH(($A64+5),$E$12:$E$21,1))+1)-INDEX($E$12:$E$21,MATCH(($A64+5),$E$12:$E$21,1)))=0,1,IFERROR(INDEX($E$12:$E$21,MATCH(($A64+5),$E$12:$E$21,1)+1),INDEX($E$12:$E$21,MATCH(($A64+5),$E$12:$E$21,1))+1)-INDEX($E$12:$E$21,MATCH(($A64+5),$E$12:$E$21,1)))),$F$12) * (($B$9 * (($A64+5)/100)) + (($B$10 * (($A64+5)/100)^2) * $B$12)))</f>
        <v/>
      </c>
      <c r="H64" s="12" t="str">
        <f>IF(($A64+6)&gt;$B$11, "", IFERROR((INDEX($F$12:$F$21,MATCH(($A64+6),$E$12:$E$21,1))+(($A64+6)-INDEX($E$12:$E$21,MATCH(($A64+6),$E$12:$E$21,1)))*(IFERROR(INDEX($F$12:$F$21,MATCH(($A64+6),$E$12:$E$21,1)+1),INDEX($F$12:$F$21,MATCH(($A64+6),$E$12:$E$21,1)))-INDEX($F$12:$F$21,MATCH(($A64+6),$E$12:$E$21,1)))/IF((IFERROR(INDEX($E$12:$E$21,MATCH(($A64+6),$E$12:$E$21,1)+1),INDEX($E$12:$E$21,MATCH(($A64+6),$E$12:$E$21,1))+1)-INDEX($E$12:$E$21,MATCH(($A64+6),$E$12:$E$21,1)))=0,1,IFERROR(INDEX($E$12:$E$21,MATCH(($A64+6),$E$12:$E$21,1)+1),INDEX($E$12:$E$21,MATCH(($A64+6),$E$12:$E$21,1))+1)-INDEX($E$12:$E$21,MATCH(($A64+6),$E$12:$E$21,1)))),$F$12) * (($B$9 * (($A64+6)/100)) + (($B$10 * (($A64+6)/100)^2) * $B$12)))</f>
        <v/>
      </c>
      <c r="I64" s="12" t="str">
        <f>IF(($A64+7)&gt;$B$11, "", IFERROR((INDEX($F$12:$F$21,MATCH(($A64+7),$E$12:$E$21,1))+(($A64+7)-INDEX($E$12:$E$21,MATCH(($A64+7),$E$12:$E$21,1)))*(IFERROR(INDEX($F$12:$F$21,MATCH(($A64+7),$E$12:$E$21,1)+1),INDEX($F$12:$F$21,MATCH(($A64+7),$E$12:$E$21,1)))-INDEX($F$12:$F$21,MATCH(($A64+7),$E$12:$E$21,1)))/IF((IFERROR(INDEX($E$12:$E$21,MATCH(($A64+7),$E$12:$E$21,1)+1),INDEX($E$12:$E$21,MATCH(($A64+7),$E$12:$E$21,1))+1)-INDEX($E$12:$E$21,MATCH(($A64+7),$E$12:$E$21,1)))=0,1,IFERROR(INDEX($E$12:$E$21,MATCH(($A64+7),$E$12:$E$21,1)+1),INDEX($E$12:$E$21,MATCH(($A64+7),$E$12:$E$21,1))+1)-INDEX($E$12:$E$21,MATCH(($A64+7),$E$12:$E$21,1)))),$F$12) * (($B$9 * (($A64+7)/100)) + (($B$10 * (($A64+7)/100)^2) * $B$12)))</f>
        <v/>
      </c>
      <c r="J64" s="12" t="str">
        <f>IF(($A64+8)&gt;$B$11, "", IFERROR((INDEX($F$12:$F$21,MATCH(($A64+8),$E$12:$E$21,1))+(($A64+8)-INDEX($E$12:$E$21,MATCH(($A64+8),$E$12:$E$21,1)))*(IFERROR(INDEX($F$12:$F$21,MATCH(($A64+8),$E$12:$E$21,1)+1),INDEX($F$12:$F$21,MATCH(($A64+8),$E$12:$E$21,1)))-INDEX($F$12:$F$21,MATCH(($A64+8),$E$12:$E$21,1)))/IF((IFERROR(INDEX($E$12:$E$21,MATCH(($A64+8),$E$12:$E$21,1)+1),INDEX($E$12:$E$21,MATCH(($A64+8),$E$12:$E$21,1))+1)-INDEX($E$12:$E$21,MATCH(($A64+8),$E$12:$E$21,1)))=0,1,IFERROR(INDEX($E$12:$E$21,MATCH(($A64+8),$E$12:$E$21,1)+1),INDEX($E$12:$E$21,MATCH(($A64+8),$E$12:$E$21,1))+1)-INDEX($E$12:$E$21,MATCH(($A64+8),$E$12:$E$21,1)))),$F$12) * (($B$9 * (($A64+8)/100)) + (($B$10 * (($A64+8)/100)^2) * $B$12)))</f>
        <v/>
      </c>
      <c r="K64" s="12" t="str">
        <f>IF(($A64+9)&gt;$B$11, "", IFERROR((INDEX($F$12:$F$21,MATCH(($A64+9),$E$12:$E$21,1))+(($A64+9)-INDEX($E$12:$E$21,MATCH(($A64+9),$E$12:$E$21,1)))*(IFERROR(INDEX($F$12:$F$21,MATCH(($A64+9),$E$12:$E$21,1)+1),INDEX($F$12:$F$21,MATCH(($A64+9),$E$12:$E$21,1)))-INDEX($F$12:$F$21,MATCH(($A64+9),$E$12:$E$21,1)))/IF((IFERROR(INDEX($E$12:$E$21,MATCH(($A64+9),$E$12:$E$21,1)+1),INDEX($E$12:$E$21,MATCH(($A64+9),$E$12:$E$21,1))+1)-INDEX($E$12:$E$21,MATCH(($A64+9),$E$12:$E$21,1)))=0,1,IFERROR(INDEX($E$12:$E$21,MATCH(($A64+9),$E$12:$E$21,1)+1),INDEX($E$12:$E$21,MATCH(($A64+9),$E$12:$E$21,1))+1)-INDEX($E$12:$E$21,MATCH(($A64+9),$E$12:$E$21,1)))),$F$12) * (($B$9 * (($A64+9)/100)) + (($B$10 * (($A64+9)/100)^2) * $B$12)))</f>
        <v/>
      </c>
    </row>
    <row r="65">
      <c r="A65" s="11">
        <v>290</v>
      </c>
      <c r="B65" s="12" t="str">
        <f>IF(($A65+0)&gt;$B$11, "", IFERROR((INDEX($F$12:$F$21,MATCH(($A65+0),$E$12:$E$21,1))+(($A65+0)-INDEX($E$12:$E$21,MATCH(($A65+0),$E$12:$E$21,1)))*(IFERROR(INDEX($F$12:$F$21,MATCH(($A65+0),$E$12:$E$21,1)+1),INDEX($F$12:$F$21,MATCH(($A65+0),$E$12:$E$21,1)))-INDEX($F$12:$F$21,MATCH(($A65+0),$E$12:$E$21,1)))/IF((IFERROR(INDEX($E$12:$E$21,MATCH(($A65+0),$E$12:$E$21,1)+1),INDEX($E$12:$E$21,MATCH(($A65+0),$E$12:$E$21,1))+1)-INDEX($E$12:$E$21,MATCH(($A65+0),$E$12:$E$21,1)))=0,1,IFERROR(INDEX($E$12:$E$21,MATCH(($A65+0),$E$12:$E$21,1)+1),INDEX($E$12:$E$21,MATCH(($A65+0),$E$12:$E$21,1))+1)-INDEX($E$12:$E$21,MATCH(($A65+0),$E$12:$E$21,1)))),$F$12) * (($B$9 * (($A65+0)/100)) + (($B$10 * (($A65+0)/100)^2) * $B$12)))</f>
        <v/>
      </c>
      <c r="C65" s="12" t="str">
        <f>IF(($A65+1)&gt;$B$11, "", IFERROR((INDEX($F$12:$F$21,MATCH(($A65+1),$E$12:$E$21,1))+(($A65+1)-INDEX($E$12:$E$21,MATCH(($A65+1),$E$12:$E$21,1)))*(IFERROR(INDEX($F$12:$F$21,MATCH(($A65+1),$E$12:$E$21,1)+1),INDEX($F$12:$F$21,MATCH(($A65+1),$E$12:$E$21,1)))-INDEX($F$12:$F$21,MATCH(($A65+1),$E$12:$E$21,1)))/IF((IFERROR(INDEX($E$12:$E$21,MATCH(($A65+1),$E$12:$E$21,1)+1),INDEX($E$12:$E$21,MATCH(($A65+1),$E$12:$E$21,1))+1)-INDEX($E$12:$E$21,MATCH(($A65+1),$E$12:$E$21,1)))=0,1,IFERROR(INDEX($E$12:$E$21,MATCH(($A65+1),$E$12:$E$21,1)+1),INDEX($E$12:$E$21,MATCH(($A65+1),$E$12:$E$21,1))+1)-INDEX($E$12:$E$21,MATCH(($A65+1),$E$12:$E$21,1)))),$F$12) * (($B$9 * (($A65+1)/100)) + (($B$10 * (($A65+1)/100)^2) * $B$12)))</f>
        <v/>
      </c>
      <c r="D65" s="12" t="str">
        <f>IF(($A65+2)&gt;$B$11, "", IFERROR((INDEX($F$12:$F$21,MATCH(($A65+2),$E$12:$E$21,1))+(($A65+2)-INDEX($E$12:$E$21,MATCH(($A65+2),$E$12:$E$21,1)))*(IFERROR(INDEX($F$12:$F$21,MATCH(($A65+2),$E$12:$E$21,1)+1),INDEX($F$12:$F$21,MATCH(($A65+2),$E$12:$E$21,1)))-INDEX($F$12:$F$21,MATCH(($A65+2),$E$12:$E$21,1)))/IF((IFERROR(INDEX($E$12:$E$21,MATCH(($A65+2),$E$12:$E$21,1)+1),INDEX($E$12:$E$21,MATCH(($A65+2),$E$12:$E$21,1))+1)-INDEX($E$12:$E$21,MATCH(($A65+2),$E$12:$E$21,1)))=0,1,IFERROR(INDEX($E$12:$E$21,MATCH(($A65+2),$E$12:$E$21,1)+1),INDEX($E$12:$E$21,MATCH(($A65+2),$E$12:$E$21,1))+1)-INDEX($E$12:$E$21,MATCH(($A65+2),$E$12:$E$21,1)))),$F$12) * (($B$9 * (($A65+2)/100)) + (($B$10 * (($A65+2)/100)^2) * $B$12)))</f>
        <v/>
      </c>
      <c r="E65" s="12" t="str">
        <f>IF(($A65+3)&gt;$B$11, "", IFERROR((INDEX($F$12:$F$21,MATCH(($A65+3),$E$12:$E$21,1))+(($A65+3)-INDEX($E$12:$E$21,MATCH(($A65+3),$E$12:$E$21,1)))*(IFERROR(INDEX($F$12:$F$21,MATCH(($A65+3),$E$12:$E$21,1)+1),INDEX($F$12:$F$21,MATCH(($A65+3),$E$12:$E$21,1)))-INDEX($F$12:$F$21,MATCH(($A65+3),$E$12:$E$21,1)))/IF((IFERROR(INDEX($E$12:$E$21,MATCH(($A65+3),$E$12:$E$21,1)+1),INDEX($E$12:$E$21,MATCH(($A65+3),$E$12:$E$21,1))+1)-INDEX($E$12:$E$21,MATCH(($A65+3),$E$12:$E$21,1)))=0,1,IFERROR(INDEX($E$12:$E$21,MATCH(($A65+3),$E$12:$E$21,1)+1),INDEX($E$12:$E$21,MATCH(($A65+3),$E$12:$E$21,1))+1)-INDEX($E$12:$E$21,MATCH(($A65+3),$E$12:$E$21,1)))),$F$12) * (($B$9 * (($A65+3)/100)) + (($B$10 * (($A65+3)/100)^2) * $B$12)))</f>
        <v/>
      </c>
      <c r="F65" s="12" t="str">
        <f>IF(($A65+4)&gt;$B$11, "", IFERROR((INDEX($F$12:$F$21,MATCH(($A65+4),$E$12:$E$21,1))+(($A65+4)-INDEX($E$12:$E$21,MATCH(($A65+4),$E$12:$E$21,1)))*(IFERROR(INDEX($F$12:$F$21,MATCH(($A65+4),$E$12:$E$21,1)+1),INDEX($F$12:$F$21,MATCH(($A65+4),$E$12:$E$21,1)))-INDEX($F$12:$F$21,MATCH(($A65+4),$E$12:$E$21,1)))/IF((IFERROR(INDEX($E$12:$E$21,MATCH(($A65+4),$E$12:$E$21,1)+1),INDEX($E$12:$E$21,MATCH(($A65+4),$E$12:$E$21,1))+1)-INDEX($E$12:$E$21,MATCH(($A65+4),$E$12:$E$21,1)))=0,1,IFERROR(INDEX($E$12:$E$21,MATCH(($A65+4),$E$12:$E$21,1)+1),INDEX($E$12:$E$21,MATCH(($A65+4),$E$12:$E$21,1))+1)-INDEX($E$12:$E$21,MATCH(($A65+4),$E$12:$E$21,1)))),$F$12) * (($B$9 * (($A65+4)/100)) + (($B$10 * (($A65+4)/100)^2) * $B$12)))</f>
        <v/>
      </c>
      <c r="G65" s="12" t="str">
        <f>IF(($A65+5)&gt;$B$11, "", IFERROR((INDEX($F$12:$F$21,MATCH(($A65+5),$E$12:$E$21,1))+(($A65+5)-INDEX($E$12:$E$21,MATCH(($A65+5),$E$12:$E$21,1)))*(IFERROR(INDEX($F$12:$F$21,MATCH(($A65+5),$E$12:$E$21,1)+1),INDEX($F$12:$F$21,MATCH(($A65+5),$E$12:$E$21,1)))-INDEX($F$12:$F$21,MATCH(($A65+5),$E$12:$E$21,1)))/IF((IFERROR(INDEX($E$12:$E$21,MATCH(($A65+5),$E$12:$E$21,1)+1),INDEX($E$12:$E$21,MATCH(($A65+5),$E$12:$E$21,1))+1)-INDEX($E$12:$E$21,MATCH(($A65+5),$E$12:$E$21,1)))=0,1,IFERROR(INDEX($E$12:$E$21,MATCH(($A65+5),$E$12:$E$21,1)+1),INDEX($E$12:$E$21,MATCH(($A65+5),$E$12:$E$21,1))+1)-INDEX($E$12:$E$21,MATCH(($A65+5),$E$12:$E$21,1)))),$F$12) * (($B$9 * (($A65+5)/100)) + (($B$10 * (($A65+5)/100)^2) * $B$12)))</f>
        <v/>
      </c>
      <c r="H65" s="12" t="str">
        <f>IF(($A65+6)&gt;$B$11, "", IFERROR((INDEX($F$12:$F$21,MATCH(($A65+6),$E$12:$E$21,1))+(($A65+6)-INDEX($E$12:$E$21,MATCH(($A65+6),$E$12:$E$21,1)))*(IFERROR(INDEX($F$12:$F$21,MATCH(($A65+6),$E$12:$E$21,1)+1),INDEX($F$12:$F$21,MATCH(($A65+6),$E$12:$E$21,1)))-INDEX($F$12:$F$21,MATCH(($A65+6),$E$12:$E$21,1)))/IF((IFERROR(INDEX($E$12:$E$21,MATCH(($A65+6),$E$12:$E$21,1)+1),INDEX($E$12:$E$21,MATCH(($A65+6),$E$12:$E$21,1))+1)-INDEX($E$12:$E$21,MATCH(($A65+6),$E$12:$E$21,1)))=0,1,IFERROR(INDEX($E$12:$E$21,MATCH(($A65+6),$E$12:$E$21,1)+1),INDEX($E$12:$E$21,MATCH(($A65+6),$E$12:$E$21,1))+1)-INDEX($E$12:$E$21,MATCH(($A65+6),$E$12:$E$21,1)))),$F$12) * (($B$9 * (($A65+6)/100)) + (($B$10 * (($A65+6)/100)^2) * $B$12)))</f>
        <v/>
      </c>
      <c r="I65" s="12" t="str">
        <f>IF(($A65+7)&gt;$B$11, "", IFERROR((INDEX($F$12:$F$21,MATCH(($A65+7),$E$12:$E$21,1))+(($A65+7)-INDEX($E$12:$E$21,MATCH(($A65+7),$E$12:$E$21,1)))*(IFERROR(INDEX($F$12:$F$21,MATCH(($A65+7),$E$12:$E$21,1)+1),INDEX($F$12:$F$21,MATCH(($A65+7),$E$12:$E$21,1)))-INDEX($F$12:$F$21,MATCH(($A65+7),$E$12:$E$21,1)))/IF((IFERROR(INDEX($E$12:$E$21,MATCH(($A65+7),$E$12:$E$21,1)+1),INDEX($E$12:$E$21,MATCH(($A65+7),$E$12:$E$21,1))+1)-INDEX($E$12:$E$21,MATCH(($A65+7),$E$12:$E$21,1)))=0,1,IFERROR(INDEX($E$12:$E$21,MATCH(($A65+7),$E$12:$E$21,1)+1),INDEX($E$12:$E$21,MATCH(($A65+7),$E$12:$E$21,1))+1)-INDEX($E$12:$E$21,MATCH(($A65+7),$E$12:$E$21,1)))),$F$12) * (($B$9 * (($A65+7)/100)) + (($B$10 * (($A65+7)/100)^2) * $B$12)))</f>
        <v/>
      </c>
      <c r="J65" s="12" t="str">
        <f>IF(($A65+8)&gt;$B$11, "", IFERROR((INDEX($F$12:$F$21,MATCH(($A65+8),$E$12:$E$21,1))+(($A65+8)-INDEX($E$12:$E$21,MATCH(($A65+8),$E$12:$E$21,1)))*(IFERROR(INDEX($F$12:$F$21,MATCH(($A65+8),$E$12:$E$21,1)+1),INDEX($F$12:$F$21,MATCH(($A65+8),$E$12:$E$21,1)))-INDEX($F$12:$F$21,MATCH(($A65+8),$E$12:$E$21,1)))/IF((IFERROR(INDEX($E$12:$E$21,MATCH(($A65+8),$E$12:$E$21,1)+1),INDEX($E$12:$E$21,MATCH(($A65+8),$E$12:$E$21,1))+1)-INDEX($E$12:$E$21,MATCH(($A65+8),$E$12:$E$21,1)))=0,1,IFERROR(INDEX($E$12:$E$21,MATCH(($A65+8),$E$12:$E$21,1)+1),INDEX($E$12:$E$21,MATCH(($A65+8),$E$12:$E$21,1))+1)-INDEX($E$12:$E$21,MATCH(($A65+8),$E$12:$E$21,1)))),$F$12) * (($B$9 * (($A65+8)/100)) + (($B$10 * (($A65+8)/100)^2) * $B$12)))</f>
        <v/>
      </c>
      <c r="K65" s="12" t="str">
        <f>IF(($A65+9)&gt;$B$11, "", IFERROR((INDEX($F$12:$F$21,MATCH(($A65+9),$E$12:$E$21,1))+(($A65+9)-INDEX($E$12:$E$21,MATCH(($A65+9),$E$12:$E$21,1)))*(IFERROR(INDEX($F$12:$F$21,MATCH(($A65+9),$E$12:$E$21,1)+1),INDEX($F$12:$F$21,MATCH(($A65+9),$E$12:$E$21,1)))-INDEX($F$12:$F$21,MATCH(($A65+9),$E$12:$E$21,1)))/IF((IFERROR(INDEX($E$12:$E$21,MATCH(($A65+9),$E$12:$E$21,1)+1),INDEX($E$12:$E$21,MATCH(($A65+9),$E$12:$E$21,1))+1)-INDEX($E$12:$E$21,MATCH(($A65+9),$E$12:$E$21,1)))=0,1,IFERROR(INDEX($E$12:$E$21,MATCH(($A65+9),$E$12:$E$21,1)+1),INDEX($E$12:$E$21,MATCH(($A65+9),$E$12:$E$21,1))+1)-INDEX($E$12:$E$21,MATCH(($A65+9),$E$12:$E$21,1)))),$F$12) * (($B$9 * (($A65+9)/100)) + (($B$10 * (($A65+9)/100)^2) * $B$12)))</f>
        <v/>
      </c>
    </row>
    <row r="66">
      <c r="A66" s="11">
        <v>300</v>
      </c>
      <c r="B66" s="12" t="str">
        <f>IF(($A66+0)&gt;$B$11, "", IFERROR((INDEX($F$12:$F$21,MATCH(($A66+0),$E$12:$E$21,1))+(($A66+0)-INDEX($E$12:$E$21,MATCH(($A66+0),$E$12:$E$21,1)))*(IFERROR(INDEX($F$12:$F$21,MATCH(($A66+0),$E$12:$E$21,1)+1),INDEX($F$12:$F$21,MATCH(($A66+0),$E$12:$E$21,1)))-INDEX($F$12:$F$21,MATCH(($A66+0),$E$12:$E$21,1)))/IF((IFERROR(INDEX($E$12:$E$21,MATCH(($A66+0),$E$12:$E$21,1)+1),INDEX($E$12:$E$21,MATCH(($A66+0),$E$12:$E$21,1))+1)-INDEX($E$12:$E$21,MATCH(($A66+0),$E$12:$E$21,1)))=0,1,IFERROR(INDEX($E$12:$E$21,MATCH(($A66+0),$E$12:$E$21,1)+1),INDEX($E$12:$E$21,MATCH(($A66+0),$E$12:$E$21,1))+1)-INDEX($E$12:$E$21,MATCH(($A66+0),$E$12:$E$21,1)))),$F$12) * (($B$9 * (($A66+0)/100)) + (($B$10 * (($A66+0)/100)^2) * $B$12)))</f>
        <v/>
      </c>
      <c r="C66" s="12" t="str">
        <f>IF(($A66+1)&gt;$B$11, "", IFERROR((INDEX($F$12:$F$21,MATCH(($A66+1),$E$12:$E$21,1))+(($A66+1)-INDEX($E$12:$E$21,MATCH(($A66+1),$E$12:$E$21,1)))*(IFERROR(INDEX($F$12:$F$21,MATCH(($A66+1),$E$12:$E$21,1)+1),INDEX($F$12:$F$21,MATCH(($A66+1),$E$12:$E$21,1)))-INDEX($F$12:$F$21,MATCH(($A66+1),$E$12:$E$21,1)))/IF((IFERROR(INDEX($E$12:$E$21,MATCH(($A66+1),$E$12:$E$21,1)+1),INDEX($E$12:$E$21,MATCH(($A66+1),$E$12:$E$21,1))+1)-INDEX($E$12:$E$21,MATCH(($A66+1),$E$12:$E$21,1)))=0,1,IFERROR(INDEX($E$12:$E$21,MATCH(($A66+1),$E$12:$E$21,1)+1),INDEX($E$12:$E$21,MATCH(($A66+1),$E$12:$E$21,1))+1)-INDEX($E$12:$E$21,MATCH(($A66+1),$E$12:$E$21,1)))),$F$12) * (($B$9 * (($A66+1)/100)) + (($B$10 * (($A66+1)/100)^2) * $B$12)))</f>
        <v/>
      </c>
      <c r="D66" s="12" t="str">
        <f>IF(($A66+2)&gt;$B$11, "", IFERROR((INDEX($F$12:$F$21,MATCH(($A66+2),$E$12:$E$21,1))+(($A66+2)-INDEX($E$12:$E$21,MATCH(($A66+2),$E$12:$E$21,1)))*(IFERROR(INDEX($F$12:$F$21,MATCH(($A66+2),$E$12:$E$21,1)+1),INDEX($F$12:$F$21,MATCH(($A66+2),$E$12:$E$21,1)))-INDEX($F$12:$F$21,MATCH(($A66+2),$E$12:$E$21,1)))/IF((IFERROR(INDEX($E$12:$E$21,MATCH(($A66+2),$E$12:$E$21,1)+1),INDEX($E$12:$E$21,MATCH(($A66+2),$E$12:$E$21,1))+1)-INDEX($E$12:$E$21,MATCH(($A66+2),$E$12:$E$21,1)))=0,1,IFERROR(INDEX($E$12:$E$21,MATCH(($A66+2),$E$12:$E$21,1)+1),INDEX($E$12:$E$21,MATCH(($A66+2),$E$12:$E$21,1))+1)-INDEX($E$12:$E$21,MATCH(($A66+2),$E$12:$E$21,1)))),$F$12) * (($B$9 * (($A66+2)/100)) + (($B$10 * (($A66+2)/100)^2) * $B$12)))</f>
        <v/>
      </c>
      <c r="E66" s="12" t="str">
        <f>IF(($A66+3)&gt;$B$11, "", IFERROR((INDEX($F$12:$F$21,MATCH(($A66+3),$E$12:$E$21,1))+(($A66+3)-INDEX($E$12:$E$21,MATCH(($A66+3),$E$12:$E$21,1)))*(IFERROR(INDEX($F$12:$F$21,MATCH(($A66+3),$E$12:$E$21,1)+1),INDEX($F$12:$F$21,MATCH(($A66+3),$E$12:$E$21,1)))-INDEX($F$12:$F$21,MATCH(($A66+3),$E$12:$E$21,1)))/IF((IFERROR(INDEX($E$12:$E$21,MATCH(($A66+3),$E$12:$E$21,1)+1),INDEX($E$12:$E$21,MATCH(($A66+3),$E$12:$E$21,1))+1)-INDEX($E$12:$E$21,MATCH(($A66+3),$E$12:$E$21,1)))=0,1,IFERROR(INDEX($E$12:$E$21,MATCH(($A66+3),$E$12:$E$21,1)+1),INDEX($E$12:$E$21,MATCH(($A66+3),$E$12:$E$21,1))+1)-INDEX($E$12:$E$21,MATCH(($A66+3),$E$12:$E$21,1)))),$F$12) * (($B$9 * (($A66+3)/100)) + (($B$10 * (($A66+3)/100)^2) * $B$12)))</f>
        <v/>
      </c>
      <c r="F66" s="12" t="str">
        <f>IF(($A66+4)&gt;$B$11, "", IFERROR((INDEX($F$12:$F$21,MATCH(($A66+4),$E$12:$E$21,1))+(($A66+4)-INDEX($E$12:$E$21,MATCH(($A66+4),$E$12:$E$21,1)))*(IFERROR(INDEX($F$12:$F$21,MATCH(($A66+4),$E$12:$E$21,1)+1),INDEX($F$12:$F$21,MATCH(($A66+4),$E$12:$E$21,1)))-INDEX($F$12:$F$21,MATCH(($A66+4),$E$12:$E$21,1)))/IF((IFERROR(INDEX($E$12:$E$21,MATCH(($A66+4),$E$12:$E$21,1)+1),INDEX($E$12:$E$21,MATCH(($A66+4),$E$12:$E$21,1))+1)-INDEX($E$12:$E$21,MATCH(($A66+4),$E$12:$E$21,1)))=0,1,IFERROR(INDEX($E$12:$E$21,MATCH(($A66+4),$E$12:$E$21,1)+1),INDEX($E$12:$E$21,MATCH(($A66+4),$E$12:$E$21,1))+1)-INDEX($E$12:$E$21,MATCH(($A66+4),$E$12:$E$21,1)))),$F$12) * (($B$9 * (($A66+4)/100)) + (($B$10 * (($A66+4)/100)^2) * $B$12)))</f>
        <v/>
      </c>
      <c r="G66" s="12" t="str">
        <f>IF(($A66+5)&gt;$B$11, "", IFERROR((INDEX($F$12:$F$21,MATCH(($A66+5),$E$12:$E$21,1))+(($A66+5)-INDEX($E$12:$E$21,MATCH(($A66+5),$E$12:$E$21,1)))*(IFERROR(INDEX($F$12:$F$21,MATCH(($A66+5),$E$12:$E$21,1)+1),INDEX($F$12:$F$21,MATCH(($A66+5),$E$12:$E$21,1)))-INDEX($F$12:$F$21,MATCH(($A66+5),$E$12:$E$21,1)))/IF((IFERROR(INDEX($E$12:$E$21,MATCH(($A66+5),$E$12:$E$21,1)+1),INDEX($E$12:$E$21,MATCH(($A66+5),$E$12:$E$21,1))+1)-INDEX($E$12:$E$21,MATCH(($A66+5),$E$12:$E$21,1)))=0,1,IFERROR(INDEX($E$12:$E$21,MATCH(($A66+5),$E$12:$E$21,1)+1),INDEX($E$12:$E$21,MATCH(($A66+5),$E$12:$E$21,1))+1)-INDEX($E$12:$E$21,MATCH(($A66+5),$E$12:$E$21,1)))),$F$12) * (($B$9 * (($A66+5)/100)) + (($B$10 * (($A66+5)/100)^2) * $B$12)))</f>
        <v/>
      </c>
      <c r="H66" s="12" t="str">
        <f>IF(($A66+6)&gt;$B$11, "", IFERROR((INDEX($F$12:$F$21,MATCH(($A66+6),$E$12:$E$21,1))+(($A66+6)-INDEX($E$12:$E$21,MATCH(($A66+6),$E$12:$E$21,1)))*(IFERROR(INDEX($F$12:$F$21,MATCH(($A66+6),$E$12:$E$21,1)+1),INDEX($F$12:$F$21,MATCH(($A66+6),$E$12:$E$21,1)))-INDEX($F$12:$F$21,MATCH(($A66+6),$E$12:$E$21,1)))/IF((IFERROR(INDEX($E$12:$E$21,MATCH(($A66+6),$E$12:$E$21,1)+1),INDEX($E$12:$E$21,MATCH(($A66+6),$E$12:$E$21,1))+1)-INDEX($E$12:$E$21,MATCH(($A66+6),$E$12:$E$21,1)))=0,1,IFERROR(INDEX($E$12:$E$21,MATCH(($A66+6),$E$12:$E$21,1)+1),INDEX($E$12:$E$21,MATCH(($A66+6),$E$12:$E$21,1))+1)-INDEX($E$12:$E$21,MATCH(($A66+6),$E$12:$E$21,1)))),$F$12) * (($B$9 * (($A66+6)/100)) + (($B$10 * (($A66+6)/100)^2) * $B$12)))</f>
        <v/>
      </c>
      <c r="I66" s="12" t="str">
        <f>IF(($A66+7)&gt;$B$11, "", IFERROR((INDEX($F$12:$F$21,MATCH(($A66+7),$E$12:$E$21,1))+(($A66+7)-INDEX($E$12:$E$21,MATCH(($A66+7),$E$12:$E$21,1)))*(IFERROR(INDEX($F$12:$F$21,MATCH(($A66+7),$E$12:$E$21,1)+1),INDEX($F$12:$F$21,MATCH(($A66+7),$E$12:$E$21,1)))-INDEX($F$12:$F$21,MATCH(($A66+7),$E$12:$E$21,1)))/IF((IFERROR(INDEX($E$12:$E$21,MATCH(($A66+7),$E$12:$E$21,1)+1),INDEX($E$12:$E$21,MATCH(($A66+7),$E$12:$E$21,1))+1)-INDEX($E$12:$E$21,MATCH(($A66+7),$E$12:$E$21,1)))=0,1,IFERROR(INDEX($E$12:$E$21,MATCH(($A66+7),$E$12:$E$21,1)+1),INDEX($E$12:$E$21,MATCH(($A66+7),$E$12:$E$21,1))+1)-INDEX($E$12:$E$21,MATCH(($A66+7),$E$12:$E$21,1)))),$F$12) * (($B$9 * (($A66+7)/100)) + (($B$10 * (($A66+7)/100)^2) * $B$12)))</f>
        <v/>
      </c>
      <c r="J66" s="12" t="str">
        <f>IF(($A66+8)&gt;$B$11, "", IFERROR((INDEX($F$12:$F$21,MATCH(($A66+8),$E$12:$E$21,1))+(($A66+8)-INDEX($E$12:$E$21,MATCH(($A66+8),$E$12:$E$21,1)))*(IFERROR(INDEX($F$12:$F$21,MATCH(($A66+8),$E$12:$E$21,1)+1),INDEX($F$12:$F$21,MATCH(($A66+8),$E$12:$E$21,1)))-INDEX($F$12:$F$21,MATCH(($A66+8),$E$12:$E$21,1)))/IF((IFERROR(INDEX($E$12:$E$21,MATCH(($A66+8),$E$12:$E$21,1)+1),INDEX($E$12:$E$21,MATCH(($A66+8),$E$12:$E$21,1))+1)-INDEX($E$12:$E$21,MATCH(($A66+8),$E$12:$E$21,1)))=0,1,IFERROR(INDEX($E$12:$E$21,MATCH(($A66+8),$E$12:$E$21,1)+1),INDEX($E$12:$E$21,MATCH(($A66+8),$E$12:$E$21,1))+1)-INDEX($E$12:$E$21,MATCH(($A66+8),$E$12:$E$21,1)))),$F$12) * (($B$9 * (($A66+8)/100)) + (($B$10 * (($A66+8)/100)^2) * $B$12)))</f>
        <v/>
      </c>
      <c r="K66" s="12" t="str">
        <f>IF(($A66+9)&gt;$B$11, "", IFERROR((INDEX($F$12:$F$21,MATCH(($A66+9),$E$12:$E$21,1))+(($A66+9)-INDEX($E$12:$E$21,MATCH(($A66+9),$E$12:$E$21,1)))*(IFERROR(INDEX($F$12:$F$21,MATCH(($A66+9),$E$12:$E$21,1)+1),INDEX($F$12:$F$21,MATCH(($A66+9),$E$12:$E$21,1)))-INDEX($F$12:$F$21,MATCH(($A66+9),$E$12:$E$21,1)))/IF((IFERROR(INDEX($E$12:$E$21,MATCH(($A66+9),$E$12:$E$21,1)+1),INDEX($E$12:$E$21,MATCH(($A66+9),$E$12:$E$21,1))+1)-INDEX($E$12:$E$21,MATCH(($A66+9),$E$12:$E$21,1)))=0,1,IFERROR(INDEX($E$12:$E$21,MATCH(($A66+9),$E$12:$E$21,1)+1),INDEX($E$12:$E$21,MATCH(($A66+9),$E$12:$E$21,1))+1)-INDEX($E$12:$E$21,MATCH(($A66+9),$E$12:$E$21,1)))),$F$12) * (($B$9 * (($A66+9)/100)) + (($B$10 * (($A66+9)/100)^2) * $B$12)))</f>
        <v/>
      </c>
    </row>
    <row r="67">
      <c r="A67" s="11">
        <v>310</v>
      </c>
      <c r="B67" s="12" t="str">
        <f>IF(($A67+0)&gt;$B$11, "", IFERROR((INDEX($F$12:$F$21,MATCH(($A67+0),$E$12:$E$21,1))+(($A67+0)-INDEX($E$12:$E$21,MATCH(($A67+0),$E$12:$E$21,1)))*(IFERROR(INDEX($F$12:$F$21,MATCH(($A67+0),$E$12:$E$21,1)+1),INDEX($F$12:$F$21,MATCH(($A67+0),$E$12:$E$21,1)))-INDEX($F$12:$F$21,MATCH(($A67+0),$E$12:$E$21,1)))/IF((IFERROR(INDEX($E$12:$E$21,MATCH(($A67+0),$E$12:$E$21,1)+1),INDEX($E$12:$E$21,MATCH(($A67+0),$E$12:$E$21,1))+1)-INDEX($E$12:$E$21,MATCH(($A67+0),$E$12:$E$21,1)))=0,1,IFERROR(INDEX($E$12:$E$21,MATCH(($A67+0),$E$12:$E$21,1)+1),INDEX($E$12:$E$21,MATCH(($A67+0),$E$12:$E$21,1))+1)-INDEX($E$12:$E$21,MATCH(($A67+0),$E$12:$E$21,1)))),$F$12) * (($B$9 * (($A67+0)/100)) + (($B$10 * (($A67+0)/100)^2) * $B$12)))</f>
        <v/>
      </c>
      <c r="C67" s="12" t="str">
        <f>IF(($A67+1)&gt;$B$11, "", IFERROR((INDEX($F$12:$F$21,MATCH(($A67+1),$E$12:$E$21,1))+(($A67+1)-INDEX($E$12:$E$21,MATCH(($A67+1),$E$12:$E$21,1)))*(IFERROR(INDEX($F$12:$F$21,MATCH(($A67+1),$E$12:$E$21,1)+1),INDEX($F$12:$F$21,MATCH(($A67+1),$E$12:$E$21,1)))-INDEX($F$12:$F$21,MATCH(($A67+1),$E$12:$E$21,1)))/IF((IFERROR(INDEX($E$12:$E$21,MATCH(($A67+1),$E$12:$E$21,1)+1),INDEX($E$12:$E$21,MATCH(($A67+1),$E$12:$E$21,1))+1)-INDEX($E$12:$E$21,MATCH(($A67+1),$E$12:$E$21,1)))=0,1,IFERROR(INDEX($E$12:$E$21,MATCH(($A67+1),$E$12:$E$21,1)+1),INDEX($E$12:$E$21,MATCH(($A67+1),$E$12:$E$21,1))+1)-INDEX($E$12:$E$21,MATCH(($A67+1),$E$12:$E$21,1)))),$F$12) * (($B$9 * (($A67+1)/100)) + (($B$10 * (($A67+1)/100)^2) * $B$12)))</f>
        <v/>
      </c>
      <c r="D67" s="12" t="str">
        <f>IF(($A67+2)&gt;$B$11, "", IFERROR((INDEX($F$12:$F$21,MATCH(($A67+2),$E$12:$E$21,1))+(($A67+2)-INDEX($E$12:$E$21,MATCH(($A67+2),$E$12:$E$21,1)))*(IFERROR(INDEX($F$12:$F$21,MATCH(($A67+2),$E$12:$E$21,1)+1),INDEX($F$12:$F$21,MATCH(($A67+2),$E$12:$E$21,1)))-INDEX($F$12:$F$21,MATCH(($A67+2),$E$12:$E$21,1)))/IF((IFERROR(INDEX($E$12:$E$21,MATCH(($A67+2),$E$12:$E$21,1)+1),INDEX($E$12:$E$21,MATCH(($A67+2),$E$12:$E$21,1))+1)-INDEX($E$12:$E$21,MATCH(($A67+2),$E$12:$E$21,1)))=0,1,IFERROR(INDEX($E$12:$E$21,MATCH(($A67+2),$E$12:$E$21,1)+1),INDEX($E$12:$E$21,MATCH(($A67+2),$E$12:$E$21,1))+1)-INDEX($E$12:$E$21,MATCH(($A67+2),$E$12:$E$21,1)))),$F$12) * (($B$9 * (($A67+2)/100)) + (($B$10 * (($A67+2)/100)^2) * $B$12)))</f>
        <v/>
      </c>
      <c r="E67" s="12" t="str">
        <f>IF(($A67+3)&gt;$B$11, "", IFERROR((INDEX($F$12:$F$21,MATCH(($A67+3),$E$12:$E$21,1))+(($A67+3)-INDEX($E$12:$E$21,MATCH(($A67+3),$E$12:$E$21,1)))*(IFERROR(INDEX($F$12:$F$21,MATCH(($A67+3),$E$12:$E$21,1)+1),INDEX($F$12:$F$21,MATCH(($A67+3),$E$12:$E$21,1)))-INDEX($F$12:$F$21,MATCH(($A67+3),$E$12:$E$21,1)))/IF((IFERROR(INDEX($E$12:$E$21,MATCH(($A67+3),$E$12:$E$21,1)+1),INDEX($E$12:$E$21,MATCH(($A67+3),$E$12:$E$21,1))+1)-INDEX($E$12:$E$21,MATCH(($A67+3),$E$12:$E$21,1)))=0,1,IFERROR(INDEX($E$12:$E$21,MATCH(($A67+3),$E$12:$E$21,1)+1),INDEX($E$12:$E$21,MATCH(($A67+3),$E$12:$E$21,1))+1)-INDEX($E$12:$E$21,MATCH(($A67+3),$E$12:$E$21,1)))),$F$12) * (($B$9 * (($A67+3)/100)) + (($B$10 * (($A67+3)/100)^2) * $B$12)))</f>
        <v/>
      </c>
      <c r="F67" s="12" t="str">
        <f>IF(($A67+4)&gt;$B$11, "", IFERROR((INDEX($F$12:$F$21,MATCH(($A67+4),$E$12:$E$21,1))+(($A67+4)-INDEX($E$12:$E$21,MATCH(($A67+4),$E$12:$E$21,1)))*(IFERROR(INDEX($F$12:$F$21,MATCH(($A67+4),$E$12:$E$21,1)+1),INDEX($F$12:$F$21,MATCH(($A67+4),$E$12:$E$21,1)))-INDEX($F$12:$F$21,MATCH(($A67+4),$E$12:$E$21,1)))/IF((IFERROR(INDEX($E$12:$E$21,MATCH(($A67+4),$E$12:$E$21,1)+1),INDEX($E$12:$E$21,MATCH(($A67+4),$E$12:$E$21,1))+1)-INDEX($E$12:$E$21,MATCH(($A67+4),$E$12:$E$21,1)))=0,1,IFERROR(INDEX($E$12:$E$21,MATCH(($A67+4),$E$12:$E$21,1)+1),INDEX($E$12:$E$21,MATCH(($A67+4),$E$12:$E$21,1))+1)-INDEX($E$12:$E$21,MATCH(($A67+4),$E$12:$E$21,1)))),$F$12) * (($B$9 * (($A67+4)/100)) + (($B$10 * (($A67+4)/100)^2) * $B$12)))</f>
        <v/>
      </c>
      <c r="G67" s="12" t="str">
        <f>IF(($A67+5)&gt;$B$11, "", IFERROR((INDEX($F$12:$F$21,MATCH(($A67+5),$E$12:$E$21,1))+(($A67+5)-INDEX($E$12:$E$21,MATCH(($A67+5),$E$12:$E$21,1)))*(IFERROR(INDEX($F$12:$F$21,MATCH(($A67+5),$E$12:$E$21,1)+1),INDEX($F$12:$F$21,MATCH(($A67+5),$E$12:$E$21,1)))-INDEX($F$12:$F$21,MATCH(($A67+5),$E$12:$E$21,1)))/IF((IFERROR(INDEX($E$12:$E$21,MATCH(($A67+5),$E$12:$E$21,1)+1),INDEX($E$12:$E$21,MATCH(($A67+5),$E$12:$E$21,1))+1)-INDEX($E$12:$E$21,MATCH(($A67+5),$E$12:$E$21,1)))=0,1,IFERROR(INDEX($E$12:$E$21,MATCH(($A67+5),$E$12:$E$21,1)+1),INDEX($E$12:$E$21,MATCH(($A67+5),$E$12:$E$21,1))+1)-INDEX($E$12:$E$21,MATCH(($A67+5),$E$12:$E$21,1)))),$F$12) * (($B$9 * (($A67+5)/100)) + (($B$10 * (($A67+5)/100)^2) * $B$12)))</f>
        <v/>
      </c>
      <c r="H67" s="12" t="str">
        <f>IF(($A67+6)&gt;$B$11, "", IFERROR((INDEX($F$12:$F$21,MATCH(($A67+6),$E$12:$E$21,1))+(($A67+6)-INDEX($E$12:$E$21,MATCH(($A67+6),$E$12:$E$21,1)))*(IFERROR(INDEX($F$12:$F$21,MATCH(($A67+6),$E$12:$E$21,1)+1),INDEX($F$12:$F$21,MATCH(($A67+6),$E$12:$E$21,1)))-INDEX($F$12:$F$21,MATCH(($A67+6),$E$12:$E$21,1)))/IF((IFERROR(INDEX($E$12:$E$21,MATCH(($A67+6),$E$12:$E$21,1)+1),INDEX($E$12:$E$21,MATCH(($A67+6),$E$12:$E$21,1))+1)-INDEX($E$12:$E$21,MATCH(($A67+6),$E$12:$E$21,1)))=0,1,IFERROR(INDEX($E$12:$E$21,MATCH(($A67+6),$E$12:$E$21,1)+1),INDEX($E$12:$E$21,MATCH(($A67+6),$E$12:$E$21,1))+1)-INDEX($E$12:$E$21,MATCH(($A67+6),$E$12:$E$21,1)))),$F$12) * (($B$9 * (($A67+6)/100)) + (($B$10 * (($A67+6)/100)^2) * $B$12)))</f>
        <v/>
      </c>
      <c r="I67" s="12" t="str">
        <f>IF(($A67+7)&gt;$B$11, "", IFERROR((INDEX($F$12:$F$21,MATCH(($A67+7),$E$12:$E$21,1))+(($A67+7)-INDEX($E$12:$E$21,MATCH(($A67+7),$E$12:$E$21,1)))*(IFERROR(INDEX($F$12:$F$21,MATCH(($A67+7),$E$12:$E$21,1)+1),INDEX($F$12:$F$21,MATCH(($A67+7),$E$12:$E$21,1)))-INDEX($F$12:$F$21,MATCH(($A67+7),$E$12:$E$21,1)))/IF((IFERROR(INDEX($E$12:$E$21,MATCH(($A67+7),$E$12:$E$21,1)+1),INDEX($E$12:$E$21,MATCH(($A67+7),$E$12:$E$21,1))+1)-INDEX($E$12:$E$21,MATCH(($A67+7),$E$12:$E$21,1)))=0,1,IFERROR(INDEX($E$12:$E$21,MATCH(($A67+7),$E$12:$E$21,1)+1),INDEX($E$12:$E$21,MATCH(($A67+7),$E$12:$E$21,1))+1)-INDEX($E$12:$E$21,MATCH(($A67+7),$E$12:$E$21,1)))),$F$12) * (($B$9 * (($A67+7)/100)) + (($B$10 * (($A67+7)/100)^2) * $B$12)))</f>
        <v/>
      </c>
      <c r="J67" s="12" t="str">
        <f>IF(($A67+8)&gt;$B$11, "", IFERROR((INDEX($F$12:$F$21,MATCH(($A67+8),$E$12:$E$21,1))+(($A67+8)-INDEX($E$12:$E$21,MATCH(($A67+8),$E$12:$E$21,1)))*(IFERROR(INDEX($F$12:$F$21,MATCH(($A67+8),$E$12:$E$21,1)+1),INDEX($F$12:$F$21,MATCH(($A67+8),$E$12:$E$21,1)))-INDEX($F$12:$F$21,MATCH(($A67+8),$E$12:$E$21,1)))/IF((IFERROR(INDEX($E$12:$E$21,MATCH(($A67+8),$E$12:$E$21,1)+1),INDEX($E$12:$E$21,MATCH(($A67+8),$E$12:$E$21,1))+1)-INDEX($E$12:$E$21,MATCH(($A67+8),$E$12:$E$21,1)))=0,1,IFERROR(INDEX($E$12:$E$21,MATCH(($A67+8),$E$12:$E$21,1)+1),INDEX($E$12:$E$21,MATCH(($A67+8),$E$12:$E$21,1))+1)-INDEX($E$12:$E$21,MATCH(($A67+8),$E$12:$E$21,1)))),$F$12) * (($B$9 * (($A67+8)/100)) + (($B$10 * (($A67+8)/100)^2) * $B$12)))</f>
        <v/>
      </c>
      <c r="K67" s="12" t="str">
        <f>IF(($A67+9)&gt;$B$11, "", IFERROR((INDEX($F$12:$F$21,MATCH(($A67+9),$E$12:$E$21,1))+(($A67+9)-INDEX($E$12:$E$21,MATCH(($A67+9),$E$12:$E$21,1)))*(IFERROR(INDEX($F$12:$F$21,MATCH(($A67+9),$E$12:$E$21,1)+1),INDEX($F$12:$F$21,MATCH(($A67+9),$E$12:$E$21,1)))-INDEX($F$12:$F$21,MATCH(($A67+9),$E$12:$E$21,1)))/IF((IFERROR(INDEX($E$12:$E$21,MATCH(($A67+9),$E$12:$E$21,1)+1),INDEX($E$12:$E$21,MATCH(($A67+9),$E$12:$E$21,1))+1)-INDEX($E$12:$E$21,MATCH(($A67+9),$E$12:$E$21,1)))=0,1,IFERROR(INDEX($E$12:$E$21,MATCH(($A67+9),$E$12:$E$21,1)+1),INDEX($E$12:$E$21,MATCH(($A67+9),$E$12:$E$21,1))+1)-INDEX($E$12:$E$21,MATCH(($A67+9),$E$12:$E$21,1)))),$F$12) * (($B$9 * (($A67+9)/100)) + (($B$10 * (($A67+9)/100)^2) * $B$12)))</f>
        <v/>
      </c>
    </row>
    <row r="68">
      <c r="A68" s="11">
        <v>320</v>
      </c>
      <c r="B68" s="12" t="str">
        <f>IF(($A68+0)&gt;$B$11, "", IFERROR((INDEX($F$12:$F$21,MATCH(($A68+0),$E$12:$E$21,1))+(($A68+0)-INDEX($E$12:$E$21,MATCH(($A68+0),$E$12:$E$21,1)))*(IFERROR(INDEX($F$12:$F$21,MATCH(($A68+0),$E$12:$E$21,1)+1),INDEX($F$12:$F$21,MATCH(($A68+0),$E$12:$E$21,1)))-INDEX($F$12:$F$21,MATCH(($A68+0),$E$12:$E$21,1)))/IF((IFERROR(INDEX($E$12:$E$21,MATCH(($A68+0),$E$12:$E$21,1)+1),INDEX($E$12:$E$21,MATCH(($A68+0),$E$12:$E$21,1))+1)-INDEX($E$12:$E$21,MATCH(($A68+0),$E$12:$E$21,1)))=0,1,IFERROR(INDEX($E$12:$E$21,MATCH(($A68+0),$E$12:$E$21,1)+1),INDEX($E$12:$E$21,MATCH(($A68+0),$E$12:$E$21,1))+1)-INDEX($E$12:$E$21,MATCH(($A68+0),$E$12:$E$21,1)))),$F$12) * (($B$9 * (($A68+0)/100)) + (($B$10 * (($A68+0)/100)^2) * $B$12)))</f>
        <v/>
      </c>
      <c r="C68" s="12" t="str">
        <f>IF(($A68+1)&gt;$B$11, "", IFERROR((INDEX($F$12:$F$21,MATCH(($A68+1),$E$12:$E$21,1))+(($A68+1)-INDEX($E$12:$E$21,MATCH(($A68+1),$E$12:$E$21,1)))*(IFERROR(INDEX($F$12:$F$21,MATCH(($A68+1),$E$12:$E$21,1)+1),INDEX($F$12:$F$21,MATCH(($A68+1),$E$12:$E$21,1)))-INDEX($F$12:$F$21,MATCH(($A68+1),$E$12:$E$21,1)))/IF((IFERROR(INDEX($E$12:$E$21,MATCH(($A68+1),$E$12:$E$21,1)+1),INDEX($E$12:$E$21,MATCH(($A68+1),$E$12:$E$21,1))+1)-INDEX($E$12:$E$21,MATCH(($A68+1),$E$12:$E$21,1)))=0,1,IFERROR(INDEX($E$12:$E$21,MATCH(($A68+1),$E$12:$E$21,1)+1),INDEX($E$12:$E$21,MATCH(($A68+1),$E$12:$E$21,1))+1)-INDEX($E$12:$E$21,MATCH(($A68+1),$E$12:$E$21,1)))),$F$12) * (($B$9 * (($A68+1)/100)) + (($B$10 * (($A68+1)/100)^2) * $B$12)))</f>
        <v/>
      </c>
      <c r="D68" s="12" t="str">
        <f>IF(($A68+2)&gt;$B$11, "", IFERROR((INDEX($F$12:$F$21,MATCH(($A68+2),$E$12:$E$21,1))+(($A68+2)-INDEX($E$12:$E$21,MATCH(($A68+2),$E$12:$E$21,1)))*(IFERROR(INDEX($F$12:$F$21,MATCH(($A68+2),$E$12:$E$21,1)+1),INDEX($F$12:$F$21,MATCH(($A68+2),$E$12:$E$21,1)))-INDEX($F$12:$F$21,MATCH(($A68+2),$E$12:$E$21,1)))/IF((IFERROR(INDEX($E$12:$E$21,MATCH(($A68+2),$E$12:$E$21,1)+1),INDEX($E$12:$E$21,MATCH(($A68+2),$E$12:$E$21,1))+1)-INDEX($E$12:$E$21,MATCH(($A68+2),$E$12:$E$21,1)))=0,1,IFERROR(INDEX($E$12:$E$21,MATCH(($A68+2),$E$12:$E$21,1)+1),INDEX($E$12:$E$21,MATCH(($A68+2),$E$12:$E$21,1))+1)-INDEX($E$12:$E$21,MATCH(($A68+2),$E$12:$E$21,1)))),$F$12) * (($B$9 * (($A68+2)/100)) + (($B$10 * (($A68+2)/100)^2) * $B$12)))</f>
        <v/>
      </c>
      <c r="E68" s="12" t="str">
        <f>IF(($A68+3)&gt;$B$11, "", IFERROR((INDEX($F$12:$F$21,MATCH(($A68+3),$E$12:$E$21,1))+(($A68+3)-INDEX($E$12:$E$21,MATCH(($A68+3),$E$12:$E$21,1)))*(IFERROR(INDEX($F$12:$F$21,MATCH(($A68+3),$E$12:$E$21,1)+1),INDEX($F$12:$F$21,MATCH(($A68+3),$E$12:$E$21,1)))-INDEX($F$12:$F$21,MATCH(($A68+3),$E$12:$E$21,1)))/IF((IFERROR(INDEX($E$12:$E$21,MATCH(($A68+3),$E$12:$E$21,1)+1),INDEX($E$12:$E$21,MATCH(($A68+3),$E$12:$E$21,1))+1)-INDEX($E$12:$E$21,MATCH(($A68+3),$E$12:$E$21,1)))=0,1,IFERROR(INDEX($E$12:$E$21,MATCH(($A68+3),$E$12:$E$21,1)+1),INDEX($E$12:$E$21,MATCH(($A68+3),$E$12:$E$21,1))+1)-INDEX($E$12:$E$21,MATCH(($A68+3),$E$12:$E$21,1)))),$F$12) * (($B$9 * (($A68+3)/100)) + (($B$10 * (($A68+3)/100)^2) * $B$12)))</f>
        <v/>
      </c>
      <c r="F68" s="12" t="str">
        <f>IF(($A68+4)&gt;$B$11, "", IFERROR((INDEX($F$12:$F$21,MATCH(($A68+4),$E$12:$E$21,1))+(($A68+4)-INDEX($E$12:$E$21,MATCH(($A68+4),$E$12:$E$21,1)))*(IFERROR(INDEX($F$12:$F$21,MATCH(($A68+4),$E$12:$E$21,1)+1),INDEX($F$12:$F$21,MATCH(($A68+4),$E$12:$E$21,1)))-INDEX($F$12:$F$21,MATCH(($A68+4),$E$12:$E$21,1)))/IF((IFERROR(INDEX($E$12:$E$21,MATCH(($A68+4),$E$12:$E$21,1)+1),INDEX($E$12:$E$21,MATCH(($A68+4),$E$12:$E$21,1))+1)-INDEX($E$12:$E$21,MATCH(($A68+4),$E$12:$E$21,1)))=0,1,IFERROR(INDEX($E$12:$E$21,MATCH(($A68+4),$E$12:$E$21,1)+1),INDEX($E$12:$E$21,MATCH(($A68+4),$E$12:$E$21,1))+1)-INDEX($E$12:$E$21,MATCH(($A68+4),$E$12:$E$21,1)))),$F$12) * (($B$9 * (($A68+4)/100)) + (($B$10 * (($A68+4)/100)^2) * $B$12)))</f>
        <v/>
      </c>
      <c r="G68" s="12" t="str">
        <f>IF(($A68+5)&gt;$B$11, "", IFERROR((INDEX($F$12:$F$21,MATCH(($A68+5),$E$12:$E$21,1))+(($A68+5)-INDEX($E$12:$E$21,MATCH(($A68+5),$E$12:$E$21,1)))*(IFERROR(INDEX($F$12:$F$21,MATCH(($A68+5),$E$12:$E$21,1)+1),INDEX($F$12:$F$21,MATCH(($A68+5),$E$12:$E$21,1)))-INDEX($F$12:$F$21,MATCH(($A68+5),$E$12:$E$21,1)))/IF((IFERROR(INDEX($E$12:$E$21,MATCH(($A68+5),$E$12:$E$21,1)+1),INDEX($E$12:$E$21,MATCH(($A68+5),$E$12:$E$21,1))+1)-INDEX($E$12:$E$21,MATCH(($A68+5),$E$12:$E$21,1)))=0,1,IFERROR(INDEX($E$12:$E$21,MATCH(($A68+5),$E$12:$E$21,1)+1),INDEX($E$12:$E$21,MATCH(($A68+5),$E$12:$E$21,1))+1)-INDEX($E$12:$E$21,MATCH(($A68+5),$E$12:$E$21,1)))),$F$12) * (($B$9 * (($A68+5)/100)) + (($B$10 * (($A68+5)/100)^2) * $B$12)))</f>
        <v/>
      </c>
      <c r="H68" s="12" t="str">
        <f>IF(($A68+6)&gt;$B$11, "", IFERROR((INDEX($F$12:$F$21,MATCH(($A68+6),$E$12:$E$21,1))+(($A68+6)-INDEX($E$12:$E$21,MATCH(($A68+6),$E$12:$E$21,1)))*(IFERROR(INDEX($F$12:$F$21,MATCH(($A68+6),$E$12:$E$21,1)+1),INDEX($F$12:$F$21,MATCH(($A68+6),$E$12:$E$21,1)))-INDEX($F$12:$F$21,MATCH(($A68+6),$E$12:$E$21,1)))/IF((IFERROR(INDEX($E$12:$E$21,MATCH(($A68+6),$E$12:$E$21,1)+1),INDEX($E$12:$E$21,MATCH(($A68+6),$E$12:$E$21,1))+1)-INDEX($E$12:$E$21,MATCH(($A68+6),$E$12:$E$21,1)))=0,1,IFERROR(INDEX($E$12:$E$21,MATCH(($A68+6),$E$12:$E$21,1)+1),INDEX($E$12:$E$21,MATCH(($A68+6),$E$12:$E$21,1))+1)-INDEX($E$12:$E$21,MATCH(($A68+6),$E$12:$E$21,1)))),$F$12) * (($B$9 * (($A68+6)/100)) + (($B$10 * (($A68+6)/100)^2) * $B$12)))</f>
        <v/>
      </c>
      <c r="I68" s="12" t="str">
        <f>IF(($A68+7)&gt;$B$11, "", IFERROR((INDEX($F$12:$F$21,MATCH(($A68+7),$E$12:$E$21,1))+(($A68+7)-INDEX($E$12:$E$21,MATCH(($A68+7),$E$12:$E$21,1)))*(IFERROR(INDEX($F$12:$F$21,MATCH(($A68+7),$E$12:$E$21,1)+1),INDEX($F$12:$F$21,MATCH(($A68+7),$E$12:$E$21,1)))-INDEX($F$12:$F$21,MATCH(($A68+7),$E$12:$E$21,1)))/IF((IFERROR(INDEX($E$12:$E$21,MATCH(($A68+7),$E$12:$E$21,1)+1),INDEX($E$12:$E$21,MATCH(($A68+7),$E$12:$E$21,1))+1)-INDEX($E$12:$E$21,MATCH(($A68+7),$E$12:$E$21,1)))=0,1,IFERROR(INDEX($E$12:$E$21,MATCH(($A68+7),$E$12:$E$21,1)+1),INDEX($E$12:$E$21,MATCH(($A68+7),$E$12:$E$21,1))+1)-INDEX($E$12:$E$21,MATCH(($A68+7),$E$12:$E$21,1)))),$F$12) * (($B$9 * (($A68+7)/100)) + (($B$10 * (($A68+7)/100)^2) * $B$12)))</f>
        <v/>
      </c>
      <c r="J68" s="12" t="str">
        <f>IF(($A68+8)&gt;$B$11, "", IFERROR((INDEX($F$12:$F$21,MATCH(($A68+8),$E$12:$E$21,1))+(($A68+8)-INDEX($E$12:$E$21,MATCH(($A68+8),$E$12:$E$21,1)))*(IFERROR(INDEX($F$12:$F$21,MATCH(($A68+8),$E$12:$E$21,1)+1),INDEX($F$12:$F$21,MATCH(($A68+8),$E$12:$E$21,1)))-INDEX($F$12:$F$21,MATCH(($A68+8),$E$12:$E$21,1)))/IF((IFERROR(INDEX($E$12:$E$21,MATCH(($A68+8),$E$12:$E$21,1)+1),INDEX($E$12:$E$21,MATCH(($A68+8),$E$12:$E$21,1))+1)-INDEX($E$12:$E$21,MATCH(($A68+8),$E$12:$E$21,1)))=0,1,IFERROR(INDEX($E$12:$E$21,MATCH(($A68+8),$E$12:$E$21,1)+1),INDEX($E$12:$E$21,MATCH(($A68+8),$E$12:$E$21,1))+1)-INDEX($E$12:$E$21,MATCH(($A68+8),$E$12:$E$21,1)))),$F$12) * (($B$9 * (($A68+8)/100)) + (($B$10 * (($A68+8)/100)^2) * $B$12)))</f>
        <v/>
      </c>
      <c r="K68" s="12" t="str">
        <f>IF(($A68+9)&gt;$B$11, "", IFERROR((INDEX($F$12:$F$21,MATCH(($A68+9),$E$12:$E$21,1))+(($A68+9)-INDEX($E$12:$E$21,MATCH(($A68+9),$E$12:$E$21,1)))*(IFERROR(INDEX($F$12:$F$21,MATCH(($A68+9),$E$12:$E$21,1)+1),INDEX($F$12:$F$21,MATCH(($A68+9),$E$12:$E$21,1)))-INDEX($F$12:$F$21,MATCH(($A68+9),$E$12:$E$21,1)))/IF((IFERROR(INDEX($E$12:$E$21,MATCH(($A68+9),$E$12:$E$21,1)+1),INDEX($E$12:$E$21,MATCH(($A68+9),$E$12:$E$21,1))+1)-INDEX($E$12:$E$21,MATCH(($A68+9),$E$12:$E$21,1)))=0,1,IFERROR(INDEX($E$12:$E$21,MATCH(($A68+9),$E$12:$E$21,1)+1),INDEX($E$12:$E$21,MATCH(($A68+9),$E$12:$E$21,1))+1)-INDEX($E$12:$E$21,MATCH(($A68+9),$E$12:$E$21,1)))),$F$12) * (($B$9 * (($A68+9)/100)) + (($B$10 * (($A68+9)/100)^2) * $B$12)))</f>
        <v/>
      </c>
    </row>
    <row r="69">
      <c r="A69" s="11">
        <v>330</v>
      </c>
      <c r="B69" s="12" t="str">
        <f>IF(($A69+0)&gt;$B$11, "", IFERROR((INDEX($F$12:$F$21,MATCH(($A69+0),$E$12:$E$21,1))+(($A69+0)-INDEX($E$12:$E$21,MATCH(($A69+0),$E$12:$E$21,1)))*(IFERROR(INDEX($F$12:$F$21,MATCH(($A69+0),$E$12:$E$21,1)+1),INDEX($F$12:$F$21,MATCH(($A69+0),$E$12:$E$21,1)))-INDEX($F$12:$F$21,MATCH(($A69+0),$E$12:$E$21,1)))/IF((IFERROR(INDEX($E$12:$E$21,MATCH(($A69+0),$E$12:$E$21,1)+1),INDEX($E$12:$E$21,MATCH(($A69+0),$E$12:$E$21,1))+1)-INDEX($E$12:$E$21,MATCH(($A69+0),$E$12:$E$21,1)))=0,1,IFERROR(INDEX($E$12:$E$21,MATCH(($A69+0),$E$12:$E$21,1)+1),INDEX($E$12:$E$21,MATCH(($A69+0),$E$12:$E$21,1))+1)-INDEX($E$12:$E$21,MATCH(($A69+0),$E$12:$E$21,1)))),$F$12) * (($B$9 * (($A69+0)/100)) + (($B$10 * (($A69+0)/100)^2) * $B$12)))</f>
        <v/>
      </c>
      <c r="C69" s="12" t="str">
        <f>IF(($A69+1)&gt;$B$11, "", IFERROR((INDEX($F$12:$F$21,MATCH(($A69+1),$E$12:$E$21,1))+(($A69+1)-INDEX($E$12:$E$21,MATCH(($A69+1),$E$12:$E$21,1)))*(IFERROR(INDEX($F$12:$F$21,MATCH(($A69+1),$E$12:$E$21,1)+1),INDEX($F$12:$F$21,MATCH(($A69+1),$E$12:$E$21,1)))-INDEX($F$12:$F$21,MATCH(($A69+1),$E$12:$E$21,1)))/IF((IFERROR(INDEX($E$12:$E$21,MATCH(($A69+1),$E$12:$E$21,1)+1),INDEX($E$12:$E$21,MATCH(($A69+1),$E$12:$E$21,1))+1)-INDEX($E$12:$E$21,MATCH(($A69+1),$E$12:$E$21,1)))=0,1,IFERROR(INDEX($E$12:$E$21,MATCH(($A69+1),$E$12:$E$21,1)+1),INDEX($E$12:$E$21,MATCH(($A69+1),$E$12:$E$21,1))+1)-INDEX($E$12:$E$21,MATCH(($A69+1),$E$12:$E$21,1)))),$F$12) * (($B$9 * (($A69+1)/100)) + (($B$10 * (($A69+1)/100)^2) * $B$12)))</f>
        <v/>
      </c>
      <c r="D69" s="12" t="str">
        <f>IF(($A69+2)&gt;$B$11, "", IFERROR((INDEX($F$12:$F$21,MATCH(($A69+2),$E$12:$E$21,1))+(($A69+2)-INDEX($E$12:$E$21,MATCH(($A69+2),$E$12:$E$21,1)))*(IFERROR(INDEX($F$12:$F$21,MATCH(($A69+2),$E$12:$E$21,1)+1),INDEX($F$12:$F$21,MATCH(($A69+2),$E$12:$E$21,1)))-INDEX($F$12:$F$21,MATCH(($A69+2),$E$12:$E$21,1)))/IF((IFERROR(INDEX($E$12:$E$21,MATCH(($A69+2),$E$12:$E$21,1)+1),INDEX($E$12:$E$21,MATCH(($A69+2),$E$12:$E$21,1))+1)-INDEX($E$12:$E$21,MATCH(($A69+2),$E$12:$E$21,1)))=0,1,IFERROR(INDEX($E$12:$E$21,MATCH(($A69+2),$E$12:$E$21,1)+1),INDEX($E$12:$E$21,MATCH(($A69+2),$E$12:$E$21,1))+1)-INDEX($E$12:$E$21,MATCH(($A69+2),$E$12:$E$21,1)))),$F$12) * (($B$9 * (($A69+2)/100)) + (($B$10 * (($A69+2)/100)^2) * $B$12)))</f>
        <v/>
      </c>
      <c r="E69" s="12" t="str">
        <f>IF(($A69+3)&gt;$B$11, "", IFERROR((INDEX($F$12:$F$21,MATCH(($A69+3),$E$12:$E$21,1))+(($A69+3)-INDEX($E$12:$E$21,MATCH(($A69+3),$E$12:$E$21,1)))*(IFERROR(INDEX($F$12:$F$21,MATCH(($A69+3),$E$12:$E$21,1)+1),INDEX($F$12:$F$21,MATCH(($A69+3),$E$12:$E$21,1)))-INDEX($F$12:$F$21,MATCH(($A69+3),$E$12:$E$21,1)))/IF((IFERROR(INDEX($E$12:$E$21,MATCH(($A69+3),$E$12:$E$21,1)+1),INDEX($E$12:$E$21,MATCH(($A69+3),$E$12:$E$21,1))+1)-INDEX($E$12:$E$21,MATCH(($A69+3),$E$12:$E$21,1)))=0,1,IFERROR(INDEX($E$12:$E$21,MATCH(($A69+3),$E$12:$E$21,1)+1),INDEX($E$12:$E$21,MATCH(($A69+3),$E$12:$E$21,1))+1)-INDEX($E$12:$E$21,MATCH(($A69+3),$E$12:$E$21,1)))),$F$12) * (($B$9 * (($A69+3)/100)) + (($B$10 * (($A69+3)/100)^2) * $B$12)))</f>
        <v/>
      </c>
      <c r="F69" s="12" t="str">
        <f>IF(($A69+4)&gt;$B$11, "", IFERROR((INDEX($F$12:$F$21,MATCH(($A69+4),$E$12:$E$21,1))+(($A69+4)-INDEX($E$12:$E$21,MATCH(($A69+4),$E$12:$E$21,1)))*(IFERROR(INDEX($F$12:$F$21,MATCH(($A69+4),$E$12:$E$21,1)+1),INDEX($F$12:$F$21,MATCH(($A69+4),$E$12:$E$21,1)))-INDEX($F$12:$F$21,MATCH(($A69+4),$E$12:$E$21,1)))/IF((IFERROR(INDEX($E$12:$E$21,MATCH(($A69+4),$E$12:$E$21,1)+1),INDEX($E$12:$E$21,MATCH(($A69+4),$E$12:$E$21,1))+1)-INDEX($E$12:$E$21,MATCH(($A69+4),$E$12:$E$21,1)))=0,1,IFERROR(INDEX($E$12:$E$21,MATCH(($A69+4),$E$12:$E$21,1)+1),INDEX($E$12:$E$21,MATCH(($A69+4),$E$12:$E$21,1))+1)-INDEX($E$12:$E$21,MATCH(($A69+4),$E$12:$E$21,1)))),$F$12) * (($B$9 * (($A69+4)/100)) + (($B$10 * (($A69+4)/100)^2) * $B$12)))</f>
        <v/>
      </c>
      <c r="G69" s="12" t="str">
        <f>IF(($A69+5)&gt;$B$11, "", IFERROR((INDEX($F$12:$F$21,MATCH(($A69+5),$E$12:$E$21,1))+(($A69+5)-INDEX($E$12:$E$21,MATCH(($A69+5),$E$12:$E$21,1)))*(IFERROR(INDEX($F$12:$F$21,MATCH(($A69+5),$E$12:$E$21,1)+1),INDEX($F$12:$F$21,MATCH(($A69+5),$E$12:$E$21,1)))-INDEX($F$12:$F$21,MATCH(($A69+5),$E$12:$E$21,1)))/IF((IFERROR(INDEX($E$12:$E$21,MATCH(($A69+5),$E$12:$E$21,1)+1),INDEX($E$12:$E$21,MATCH(($A69+5),$E$12:$E$21,1))+1)-INDEX($E$12:$E$21,MATCH(($A69+5),$E$12:$E$21,1)))=0,1,IFERROR(INDEX($E$12:$E$21,MATCH(($A69+5),$E$12:$E$21,1)+1),INDEX($E$12:$E$21,MATCH(($A69+5),$E$12:$E$21,1))+1)-INDEX($E$12:$E$21,MATCH(($A69+5),$E$12:$E$21,1)))),$F$12) * (($B$9 * (($A69+5)/100)) + (($B$10 * (($A69+5)/100)^2) * $B$12)))</f>
        <v/>
      </c>
      <c r="H69" s="12" t="str">
        <f>IF(($A69+6)&gt;$B$11, "", IFERROR((INDEX($F$12:$F$21,MATCH(($A69+6),$E$12:$E$21,1))+(($A69+6)-INDEX($E$12:$E$21,MATCH(($A69+6),$E$12:$E$21,1)))*(IFERROR(INDEX($F$12:$F$21,MATCH(($A69+6),$E$12:$E$21,1)+1),INDEX($F$12:$F$21,MATCH(($A69+6),$E$12:$E$21,1)))-INDEX($F$12:$F$21,MATCH(($A69+6),$E$12:$E$21,1)))/IF((IFERROR(INDEX($E$12:$E$21,MATCH(($A69+6),$E$12:$E$21,1)+1),INDEX($E$12:$E$21,MATCH(($A69+6),$E$12:$E$21,1))+1)-INDEX($E$12:$E$21,MATCH(($A69+6),$E$12:$E$21,1)))=0,1,IFERROR(INDEX($E$12:$E$21,MATCH(($A69+6),$E$12:$E$21,1)+1),INDEX($E$12:$E$21,MATCH(($A69+6),$E$12:$E$21,1))+1)-INDEX($E$12:$E$21,MATCH(($A69+6),$E$12:$E$21,1)))),$F$12) * (($B$9 * (($A69+6)/100)) + (($B$10 * (($A69+6)/100)^2) * $B$12)))</f>
        <v/>
      </c>
      <c r="I69" s="12" t="str">
        <f>IF(($A69+7)&gt;$B$11, "", IFERROR((INDEX($F$12:$F$21,MATCH(($A69+7),$E$12:$E$21,1))+(($A69+7)-INDEX($E$12:$E$21,MATCH(($A69+7),$E$12:$E$21,1)))*(IFERROR(INDEX($F$12:$F$21,MATCH(($A69+7),$E$12:$E$21,1)+1),INDEX($F$12:$F$21,MATCH(($A69+7),$E$12:$E$21,1)))-INDEX($F$12:$F$21,MATCH(($A69+7),$E$12:$E$21,1)))/IF((IFERROR(INDEX($E$12:$E$21,MATCH(($A69+7),$E$12:$E$21,1)+1),INDEX($E$12:$E$21,MATCH(($A69+7),$E$12:$E$21,1))+1)-INDEX($E$12:$E$21,MATCH(($A69+7),$E$12:$E$21,1)))=0,1,IFERROR(INDEX($E$12:$E$21,MATCH(($A69+7),$E$12:$E$21,1)+1),INDEX($E$12:$E$21,MATCH(($A69+7),$E$12:$E$21,1))+1)-INDEX($E$12:$E$21,MATCH(($A69+7),$E$12:$E$21,1)))),$F$12) * (($B$9 * (($A69+7)/100)) + (($B$10 * (($A69+7)/100)^2) * $B$12)))</f>
        <v/>
      </c>
      <c r="J69" s="12" t="str">
        <f>IF(($A69+8)&gt;$B$11, "", IFERROR((INDEX($F$12:$F$21,MATCH(($A69+8),$E$12:$E$21,1))+(($A69+8)-INDEX($E$12:$E$21,MATCH(($A69+8),$E$12:$E$21,1)))*(IFERROR(INDEX($F$12:$F$21,MATCH(($A69+8),$E$12:$E$21,1)+1),INDEX($F$12:$F$21,MATCH(($A69+8),$E$12:$E$21,1)))-INDEX($F$12:$F$21,MATCH(($A69+8),$E$12:$E$21,1)))/IF((IFERROR(INDEX($E$12:$E$21,MATCH(($A69+8),$E$12:$E$21,1)+1),INDEX($E$12:$E$21,MATCH(($A69+8),$E$12:$E$21,1))+1)-INDEX($E$12:$E$21,MATCH(($A69+8),$E$12:$E$21,1)))=0,1,IFERROR(INDEX($E$12:$E$21,MATCH(($A69+8),$E$12:$E$21,1)+1),INDEX($E$12:$E$21,MATCH(($A69+8),$E$12:$E$21,1))+1)-INDEX($E$12:$E$21,MATCH(($A69+8),$E$12:$E$21,1)))),$F$12) * (($B$9 * (($A69+8)/100)) + (($B$10 * (($A69+8)/100)^2) * $B$12)))</f>
        <v/>
      </c>
      <c r="K69" s="12" t="str">
        <f>IF(($A69+9)&gt;$B$11, "", IFERROR((INDEX($F$12:$F$21,MATCH(($A69+9),$E$12:$E$21,1))+(($A69+9)-INDEX($E$12:$E$21,MATCH(($A69+9),$E$12:$E$21,1)))*(IFERROR(INDEX($F$12:$F$21,MATCH(($A69+9),$E$12:$E$21,1)+1),INDEX($F$12:$F$21,MATCH(($A69+9),$E$12:$E$21,1)))-INDEX($F$12:$F$21,MATCH(($A69+9),$E$12:$E$21,1)))/IF((IFERROR(INDEX($E$12:$E$21,MATCH(($A69+9),$E$12:$E$21,1)+1),INDEX($E$12:$E$21,MATCH(($A69+9),$E$12:$E$21,1))+1)-INDEX($E$12:$E$21,MATCH(($A69+9),$E$12:$E$21,1)))=0,1,IFERROR(INDEX($E$12:$E$21,MATCH(($A69+9),$E$12:$E$21,1)+1),INDEX($E$12:$E$21,MATCH(($A69+9),$E$12:$E$21,1))+1)-INDEX($E$12:$E$21,MATCH(($A69+9),$E$12:$E$21,1)))),$F$12) * (($B$9 * (($A69+9)/100)) + (($B$10 * (($A69+9)/100)^2) * $B$12)))</f>
        <v/>
      </c>
    </row>
    <row r="70">
      <c r="A70" s="11">
        <v>340</v>
      </c>
      <c r="B70" s="12" t="str">
        <f>IF(($A70+0)&gt;$B$11, "", IFERROR((INDEX($F$12:$F$21,MATCH(($A70+0),$E$12:$E$21,1))+(($A70+0)-INDEX($E$12:$E$21,MATCH(($A70+0),$E$12:$E$21,1)))*(IFERROR(INDEX($F$12:$F$21,MATCH(($A70+0),$E$12:$E$21,1)+1),INDEX($F$12:$F$21,MATCH(($A70+0),$E$12:$E$21,1)))-INDEX($F$12:$F$21,MATCH(($A70+0),$E$12:$E$21,1)))/IF((IFERROR(INDEX($E$12:$E$21,MATCH(($A70+0),$E$12:$E$21,1)+1),INDEX($E$12:$E$21,MATCH(($A70+0),$E$12:$E$21,1))+1)-INDEX($E$12:$E$21,MATCH(($A70+0),$E$12:$E$21,1)))=0,1,IFERROR(INDEX($E$12:$E$21,MATCH(($A70+0),$E$12:$E$21,1)+1),INDEX($E$12:$E$21,MATCH(($A70+0),$E$12:$E$21,1))+1)-INDEX($E$12:$E$21,MATCH(($A70+0),$E$12:$E$21,1)))),$F$12) * (($B$9 * (($A70+0)/100)) + (($B$10 * (($A70+0)/100)^2) * $B$12)))</f>
        <v/>
      </c>
      <c r="C70" s="12" t="str">
        <f>IF(($A70+1)&gt;$B$11, "", IFERROR((INDEX($F$12:$F$21,MATCH(($A70+1),$E$12:$E$21,1))+(($A70+1)-INDEX($E$12:$E$21,MATCH(($A70+1),$E$12:$E$21,1)))*(IFERROR(INDEX($F$12:$F$21,MATCH(($A70+1),$E$12:$E$21,1)+1),INDEX($F$12:$F$21,MATCH(($A70+1),$E$12:$E$21,1)))-INDEX($F$12:$F$21,MATCH(($A70+1),$E$12:$E$21,1)))/IF((IFERROR(INDEX($E$12:$E$21,MATCH(($A70+1),$E$12:$E$21,1)+1),INDEX($E$12:$E$21,MATCH(($A70+1),$E$12:$E$21,1))+1)-INDEX($E$12:$E$21,MATCH(($A70+1),$E$12:$E$21,1)))=0,1,IFERROR(INDEX($E$12:$E$21,MATCH(($A70+1),$E$12:$E$21,1)+1),INDEX($E$12:$E$21,MATCH(($A70+1),$E$12:$E$21,1))+1)-INDEX($E$12:$E$21,MATCH(($A70+1),$E$12:$E$21,1)))),$F$12) * (($B$9 * (($A70+1)/100)) + (($B$10 * (($A70+1)/100)^2) * $B$12)))</f>
        <v/>
      </c>
      <c r="D70" s="12" t="str">
        <f>IF(($A70+2)&gt;$B$11, "", IFERROR((INDEX($F$12:$F$21,MATCH(($A70+2),$E$12:$E$21,1))+(($A70+2)-INDEX($E$12:$E$21,MATCH(($A70+2),$E$12:$E$21,1)))*(IFERROR(INDEX($F$12:$F$21,MATCH(($A70+2),$E$12:$E$21,1)+1),INDEX($F$12:$F$21,MATCH(($A70+2),$E$12:$E$21,1)))-INDEX($F$12:$F$21,MATCH(($A70+2),$E$12:$E$21,1)))/IF((IFERROR(INDEX($E$12:$E$21,MATCH(($A70+2),$E$12:$E$21,1)+1),INDEX($E$12:$E$21,MATCH(($A70+2),$E$12:$E$21,1))+1)-INDEX($E$12:$E$21,MATCH(($A70+2),$E$12:$E$21,1)))=0,1,IFERROR(INDEX($E$12:$E$21,MATCH(($A70+2),$E$12:$E$21,1)+1),INDEX($E$12:$E$21,MATCH(($A70+2),$E$12:$E$21,1))+1)-INDEX($E$12:$E$21,MATCH(($A70+2),$E$12:$E$21,1)))),$F$12) * (($B$9 * (($A70+2)/100)) + (($B$10 * (($A70+2)/100)^2) * $B$12)))</f>
        <v/>
      </c>
      <c r="E70" s="12" t="str">
        <f>IF(($A70+3)&gt;$B$11, "", IFERROR((INDEX($F$12:$F$21,MATCH(($A70+3),$E$12:$E$21,1))+(($A70+3)-INDEX($E$12:$E$21,MATCH(($A70+3),$E$12:$E$21,1)))*(IFERROR(INDEX($F$12:$F$21,MATCH(($A70+3),$E$12:$E$21,1)+1),INDEX($F$12:$F$21,MATCH(($A70+3),$E$12:$E$21,1)))-INDEX($F$12:$F$21,MATCH(($A70+3),$E$12:$E$21,1)))/IF((IFERROR(INDEX($E$12:$E$21,MATCH(($A70+3),$E$12:$E$21,1)+1),INDEX($E$12:$E$21,MATCH(($A70+3),$E$12:$E$21,1))+1)-INDEX($E$12:$E$21,MATCH(($A70+3),$E$12:$E$21,1)))=0,1,IFERROR(INDEX($E$12:$E$21,MATCH(($A70+3),$E$12:$E$21,1)+1),INDEX($E$12:$E$21,MATCH(($A70+3),$E$12:$E$21,1))+1)-INDEX($E$12:$E$21,MATCH(($A70+3),$E$12:$E$21,1)))),$F$12) * (($B$9 * (($A70+3)/100)) + (($B$10 * (($A70+3)/100)^2) * $B$12)))</f>
        <v/>
      </c>
      <c r="F70" s="12" t="str">
        <f>IF(($A70+4)&gt;$B$11, "", IFERROR((INDEX($F$12:$F$21,MATCH(($A70+4),$E$12:$E$21,1))+(($A70+4)-INDEX($E$12:$E$21,MATCH(($A70+4),$E$12:$E$21,1)))*(IFERROR(INDEX($F$12:$F$21,MATCH(($A70+4),$E$12:$E$21,1)+1),INDEX($F$12:$F$21,MATCH(($A70+4),$E$12:$E$21,1)))-INDEX($F$12:$F$21,MATCH(($A70+4),$E$12:$E$21,1)))/IF((IFERROR(INDEX($E$12:$E$21,MATCH(($A70+4),$E$12:$E$21,1)+1),INDEX($E$12:$E$21,MATCH(($A70+4),$E$12:$E$21,1))+1)-INDEX($E$12:$E$21,MATCH(($A70+4),$E$12:$E$21,1)))=0,1,IFERROR(INDEX($E$12:$E$21,MATCH(($A70+4),$E$12:$E$21,1)+1),INDEX($E$12:$E$21,MATCH(($A70+4),$E$12:$E$21,1))+1)-INDEX($E$12:$E$21,MATCH(($A70+4),$E$12:$E$21,1)))),$F$12) * (($B$9 * (($A70+4)/100)) + (($B$10 * (($A70+4)/100)^2) * $B$12)))</f>
        <v/>
      </c>
      <c r="G70" s="12" t="str">
        <f>IF(($A70+5)&gt;$B$11, "", IFERROR((INDEX($F$12:$F$21,MATCH(($A70+5),$E$12:$E$21,1))+(($A70+5)-INDEX($E$12:$E$21,MATCH(($A70+5),$E$12:$E$21,1)))*(IFERROR(INDEX($F$12:$F$21,MATCH(($A70+5),$E$12:$E$21,1)+1),INDEX($F$12:$F$21,MATCH(($A70+5),$E$12:$E$21,1)))-INDEX($F$12:$F$21,MATCH(($A70+5),$E$12:$E$21,1)))/IF((IFERROR(INDEX($E$12:$E$21,MATCH(($A70+5),$E$12:$E$21,1)+1),INDEX($E$12:$E$21,MATCH(($A70+5),$E$12:$E$21,1))+1)-INDEX($E$12:$E$21,MATCH(($A70+5),$E$12:$E$21,1)))=0,1,IFERROR(INDEX($E$12:$E$21,MATCH(($A70+5),$E$12:$E$21,1)+1),INDEX($E$12:$E$21,MATCH(($A70+5),$E$12:$E$21,1))+1)-INDEX($E$12:$E$21,MATCH(($A70+5),$E$12:$E$21,1)))),$F$12) * (($B$9 * (($A70+5)/100)) + (($B$10 * (($A70+5)/100)^2) * $B$12)))</f>
        <v/>
      </c>
      <c r="H70" s="12" t="str">
        <f>IF(($A70+6)&gt;$B$11, "", IFERROR((INDEX($F$12:$F$21,MATCH(($A70+6),$E$12:$E$21,1))+(($A70+6)-INDEX($E$12:$E$21,MATCH(($A70+6),$E$12:$E$21,1)))*(IFERROR(INDEX($F$12:$F$21,MATCH(($A70+6),$E$12:$E$21,1)+1),INDEX($F$12:$F$21,MATCH(($A70+6),$E$12:$E$21,1)))-INDEX($F$12:$F$21,MATCH(($A70+6),$E$12:$E$21,1)))/IF((IFERROR(INDEX($E$12:$E$21,MATCH(($A70+6),$E$12:$E$21,1)+1),INDEX($E$12:$E$21,MATCH(($A70+6),$E$12:$E$21,1))+1)-INDEX($E$12:$E$21,MATCH(($A70+6),$E$12:$E$21,1)))=0,1,IFERROR(INDEX($E$12:$E$21,MATCH(($A70+6),$E$12:$E$21,1)+1),INDEX($E$12:$E$21,MATCH(($A70+6),$E$12:$E$21,1))+1)-INDEX($E$12:$E$21,MATCH(($A70+6),$E$12:$E$21,1)))),$F$12) * (($B$9 * (($A70+6)/100)) + (($B$10 * (($A70+6)/100)^2) * $B$12)))</f>
        <v/>
      </c>
      <c r="I70" s="12" t="str">
        <f>IF(($A70+7)&gt;$B$11, "", IFERROR((INDEX($F$12:$F$21,MATCH(($A70+7),$E$12:$E$21,1))+(($A70+7)-INDEX($E$12:$E$21,MATCH(($A70+7),$E$12:$E$21,1)))*(IFERROR(INDEX($F$12:$F$21,MATCH(($A70+7),$E$12:$E$21,1)+1),INDEX($F$12:$F$21,MATCH(($A70+7),$E$12:$E$21,1)))-INDEX($F$12:$F$21,MATCH(($A70+7),$E$12:$E$21,1)))/IF((IFERROR(INDEX($E$12:$E$21,MATCH(($A70+7),$E$12:$E$21,1)+1),INDEX($E$12:$E$21,MATCH(($A70+7),$E$12:$E$21,1))+1)-INDEX($E$12:$E$21,MATCH(($A70+7),$E$12:$E$21,1)))=0,1,IFERROR(INDEX($E$12:$E$21,MATCH(($A70+7),$E$12:$E$21,1)+1),INDEX($E$12:$E$21,MATCH(($A70+7),$E$12:$E$21,1))+1)-INDEX($E$12:$E$21,MATCH(($A70+7),$E$12:$E$21,1)))),$F$12) * (($B$9 * (($A70+7)/100)) + (($B$10 * (($A70+7)/100)^2) * $B$12)))</f>
        <v/>
      </c>
      <c r="J70" s="12" t="str">
        <f>IF(($A70+8)&gt;$B$11, "", IFERROR((INDEX($F$12:$F$21,MATCH(($A70+8),$E$12:$E$21,1))+(($A70+8)-INDEX($E$12:$E$21,MATCH(($A70+8),$E$12:$E$21,1)))*(IFERROR(INDEX($F$12:$F$21,MATCH(($A70+8),$E$12:$E$21,1)+1),INDEX($F$12:$F$21,MATCH(($A70+8),$E$12:$E$21,1)))-INDEX($F$12:$F$21,MATCH(($A70+8),$E$12:$E$21,1)))/IF((IFERROR(INDEX($E$12:$E$21,MATCH(($A70+8),$E$12:$E$21,1)+1),INDEX($E$12:$E$21,MATCH(($A70+8),$E$12:$E$21,1))+1)-INDEX($E$12:$E$21,MATCH(($A70+8),$E$12:$E$21,1)))=0,1,IFERROR(INDEX($E$12:$E$21,MATCH(($A70+8),$E$12:$E$21,1)+1),INDEX($E$12:$E$21,MATCH(($A70+8),$E$12:$E$21,1))+1)-INDEX($E$12:$E$21,MATCH(($A70+8),$E$12:$E$21,1)))),$F$12) * (($B$9 * (($A70+8)/100)) + (($B$10 * (($A70+8)/100)^2) * $B$12)))</f>
        <v/>
      </c>
      <c r="K70" s="12" t="str">
        <f>IF(($A70+9)&gt;$B$11, "", IFERROR((INDEX($F$12:$F$21,MATCH(($A70+9),$E$12:$E$21,1))+(($A70+9)-INDEX($E$12:$E$21,MATCH(($A70+9),$E$12:$E$21,1)))*(IFERROR(INDEX($F$12:$F$21,MATCH(($A70+9),$E$12:$E$21,1)+1),INDEX($F$12:$F$21,MATCH(($A70+9),$E$12:$E$21,1)))-INDEX($F$12:$F$21,MATCH(($A70+9),$E$12:$E$21,1)))/IF((IFERROR(INDEX($E$12:$E$21,MATCH(($A70+9),$E$12:$E$21,1)+1),INDEX($E$12:$E$21,MATCH(($A70+9),$E$12:$E$21,1))+1)-INDEX($E$12:$E$21,MATCH(($A70+9),$E$12:$E$21,1)))=0,1,IFERROR(INDEX($E$12:$E$21,MATCH(($A70+9),$E$12:$E$21,1)+1),INDEX($E$12:$E$21,MATCH(($A70+9),$E$12:$E$21,1))+1)-INDEX($E$12:$E$21,MATCH(($A70+9),$E$12:$E$21,1)))),$F$12) * (($B$9 * (($A70+9)/100)) + (($B$10 * (($A70+9)/100)^2) * $B$12)))</f>
        <v/>
      </c>
    </row>
    <row r="71">
      <c r="A71" s="11">
        <v>350</v>
      </c>
      <c r="B71" s="12" t="str">
        <f>IF(($A71+0)&gt;$B$11, "", IFERROR((INDEX($F$12:$F$21,MATCH(($A71+0),$E$12:$E$21,1))+(($A71+0)-INDEX($E$12:$E$21,MATCH(($A71+0),$E$12:$E$21,1)))*(IFERROR(INDEX($F$12:$F$21,MATCH(($A71+0),$E$12:$E$21,1)+1),INDEX($F$12:$F$21,MATCH(($A71+0),$E$12:$E$21,1)))-INDEX($F$12:$F$21,MATCH(($A71+0),$E$12:$E$21,1)))/IF((IFERROR(INDEX($E$12:$E$21,MATCH(($A71+0),$E$12:$E$21,1)+1),INDEX($E$12:$E$21,MATCH(($A71+0),$E$12:$E$21,1))+1)-INDEX($E$12:$E$21,MATCH(($A71+0),$E$12:$E$21,1)))=0,1,IFERROR(INDEX($E$12:$E$21,MATCH(($A71+0),$E$12:$E$21,1)+1),INDEX($E$12:$E$21,MATCH(($A71+0),$E$12:$E$21,1))+1)-INDEX($E$12:$E$21,MATCH(($A71+0),$E$12:$E$21,1)))),$F$12) * (($B$9 * (($A71+0)/100)) + (($B$10 * (($A71+0)/100)^2) * $B$12)))</f>
        <v/>
      </c>
      <c r="C71" s="12" t="str">
        <f>IF(($A71+1)&gt;$B$11, "", IFERROR((INDEX($F$12:$F$21,MATCH(($A71+1),$E$12:$E$21,1))+(($A71+1)-INDEX($E$12:$E$21,MATCH(($A71+1),$E$12:$E$21,1)))*(IFERROR(INDEX($F$12:$F$21,MATCH(($A71+1),$E$12:$E$21,1)+1),INDEX($F$12:$F$21,MATCH(($A71+1),$E$12:$E$21,1)))-INDEX($F$12:$F$21,MATCH(($A71+1),$E$12:$E$21,1)))/IF((IFERROR(INDEX($E$12:$E$21,MATCH(($A71+1),$E$12:$E$21,1)+1),INDEX($E$12:$E$21,MATCH(($A71+1),$E$12:$E$21,1))+1)-INDEX($E$12:$E$21,MATCH(($A71+1),$E$12:$E$21,1)))=0,1,IFERROR(INDEX($E$12:$E$21,MATCH(($A71+1),$E$12:$E$21,1)+1),INDEX($E$12:$E$21,MATCH(($A71+1),$E$12:$E$21,1))+1)-INDEX($E$12:$E$21,MATCH(($A71+1),$E$12:$E$21,1)))),$F$12) * (($B$9 * (($A71+1)/100)) + (($B$10 * (($A71+1)/100)^2) * $B$12)))</f>
        <v/>
      </c>
      <c r="D71" s="12" t="str">
        <f>IF(($A71+2)&gt;$B$11, "", IFERROR((INDEX($F$12:$F$21,MATCH(($A71+2),$E$12:$E$21,1))+(($A71+2)-INDEX($E$12:$E$21,MATCH(($A71+2),$E$12:$E$21,1)))*(IFERROR(INDEX($F$12:$F$21,MATCH(($A71+2),$E$12:$E$21,1)+1),INDEX($F$12:$F$21,MATCH(($A71+2),$E$12:$E$21,1)))-INDEX($F$12:$F$21,MATCH(($A71+2),$E$12:$E$21,1)))/IF((IFERROR(INDEX($E$12:$E$21,MATCH(($A71+2),$E$12:$E$21,1)+1),INDEX($E$12:$E$21,MATCH(($A71+2),$E$12:$E$21,1))+1)-INDEX($E$12:$E$21,MATCH(($A71+2),$E$12:$E$21,1)))=0,1,IFERROR(INDEX($E$12:$E$21,MATCH(($A71+2),$E$12:$E$21,1)+1),INDEX($E$12:$E$21,MATCH(($A71+2),$E$12:$E$21,1))+1)-INDEX($E$12:$E$21,MATCH(($A71+2),$E$12:$E$21,1)))),$F$12) * (($B$9 * (($A71+2)/100)) + (($B$10 * (($A71+2)/100)^2) * $B$12)))</f>
        <v/>
      </c>
      <c r="E71" s="12" t="str">
        <f>IF(($A71+3)&gt;$B$11, "", IFERROR((INDEX($F$12:$F$21,MATCH(($A71+3),$E$12:$E$21,1))+(($A71+3)-INDEX($E$12:$E$21,MATCH(($A71+3),$E$12:$E$21,1)))*(IFERROR(INDEX($F$12:$F$21,MATCH(($A71+3),$E$12:$E$21,1)+1),INDEX($F$12:$F$21,MATCH(($A71+3),$E$12:$E$21,1)))-INDEX($F$12:$F$21,MATCH(($A71+3),$E$12:$E$21,1)))/IF((IFERROR(INDEX($E$12:$E$21,MATCH(($A71+3),$E$12:$E$21,1)+1),INDEX($E$12:$E$21,MATCH(($A71+3),$E$12:$E$21,1))+1)-INDEX($E$12:$E$21,MATCH(($A71+3),$E$12:$E$21,1)))=0,1,IFERROR(INDEX($E$12:$E$21,MATCH(($A71+3),$E$12:$E$21,1)+1),INDEX($E$12:$E$21,MATCH(($A71+3),$E$12:$E$21,1))+1)-INDEX($E$12:$E$21,MATCH(($A71+3),$E$12:$E$21,1)))),$F$12) * (($B$9 * (($A71+3)/100)) + (($B$10 * (($A71+3)/100)^2) * $B$12)))</f>
        <v/>
      </c>
      <c r="F71" s="12" t="str">
        <f>IF(($A71+4)&gt;$B$11, "", IFERROR((INDEX($F$12:$F$21,MATCH(($A71+4),$E$12:$E$21,1))+(($A71+4)-INDEX($E$12:$E$21,MATCH(($A71+4),$E$12:$E$21,1)))*(IFERROR(INDEX($F$12:$F$21,MATCH(($A71+4),$E$12:$E$21,1)+1),INDEX($F$12:$F$21,MATCH(($A71+4),$E$12:$E$21,1)))-INDEX($F$12:$F$21,MATCH(($A71+4),$E$12:$E$21,1)))/IF((IFERROR(INDEX($E$12:$E$21,MATCH(($A71+4),$E$12:$E$21,1)+1),INDEX($E$12:$E$21,MATCH(($A71+4),$E$12:$E$21,1))+1)-INDEX($E$12:$E$21,MATCH(($A71+4),$E$12:$E$21,1)))=0,1,IFERROR(INDEX($E$12:$E$21,MATCH(($A71+4),$E$12:$E$21,1)+1),INDEX($E$12:$E$21,MATCH(($A71+4),$E$12:$E$21,1))+1)-INDEX($E$12:$E$21,MATCH(($A71+4),$E$12:$E$21,1)))),$F$12) * (($B$9 * (($A71+4)/100)) + (($B$10 * (($A71+4)/100)^2) * $B$12)))</f>
        <v/>
      </c>
      <c r="G71" s="12" t="str">
        <f>IF(($A71+5)&gt;$B$11, "", IFERROR((INDEX($F$12:$F$21,MATCH(($A71+5),$E$12:$E$21,1))+(($A71+5)-INDEX($E$12:$E$21,MATCH(($A71+5),$E$12:$E$21,1)))*(IFERROR(INDEX($F$12:$F$21,MATCH(($A71+5),$E$12:$E$21,1)+1),INDEX($F$12:$F$21,MATCH(($A71+5),$E$12:$E$21,1)))-INDEX($F$12:$F$21,MATCH(($A71+5),$E$12:$E$21,1)))/IF((IFERROR(INDEX($E$12:$E$21,MATCH(($A71+5),$E$12:$E$21,1)+1),INDEX($E$12:$E$21,MATCH(($A71+5),$E$12:$E$21,1))+1)-INDEX($E$12:$E$21,MATCH(($A71+5),$E$12:$E$21,1)))=0,1,IFERROR(INDEX($E$12:$E$21,MATCH(($A71+5),$E$12:$E$21,1)+1),INDEX($E$12:$E$21,MATCH(($A71+5),$E$12:$E$21,1))+1)-INDEX($E$12:$E$21,MATCH(($A71+5),$E$12:$E$21,1)))),$F$12) * (($B$9 * (($A71+5)/100)) + (($B$10 * (($A71+5)/100)^2) * $B$12)))</f>
        <v/>
      </c>
      <c r="H71" s="12" t="str">
        <f>IF(($A71+6)&gt;$B$11, "", IFERROR((INDEX($F$12:$F$21,MATCH(($A71+6),$E$12:$E$21,1))+(($A71+6)-INDEX($E$12:$E$21,MATCH(($A71+6),$E$12:$E$21,1)))*(IFERROR(INDEX($F$12:$F$21,MATCH(($A71+6),$E$12:$E$21,1)+1),INDEX($F$12:$F$21,MATCH(($A71+6),$E$12:$E$21,1)))-INDEX($F$12:$F$21,MATCH(($A71+6),$E$12:$E$21,1)))/IF((IFERROR(INDEX($E$12:$E$21,MATCH(($A71+6),$E$12:$E$21,1)+1),INDEX($E$12:$E$21,MATCH(($A71+6),$E$12:$E$21,1))+1)-INDEX($E$12:$E$21,MATCH(($A71+6),$E$12:$E$21,1)))=0,1,IFERROR(INDEX($E$12:$E$21,MATCH(($A71+6),$E$12:$E$21,1)+1),INDEX($E$12:$E$21,MATCH(($A71+6),$E$12:$E$21,1))+1)-INDEX($E$12:$E$21,MATCH(($A71+6),$E$12:$E$21,1)))),$F$12) * (($B$9 * (($A71+6)/100)) + (($B$10 * (($A71+6)/100)^2) * $B$12)))</f>
        <v/>
      </c>
      <c r="I71" s="12" t="str">
        <f>IF(($A71+7)&gt;$B$11, "", IFERROR((INDEX($F$12:$F$21,MATCH(($A71+7),$E$12:$E$21,1))+(($A71+7)-INDEX($E$12:$E$21,MATCH(($A71+7),$E$12:$E$21,1)))*(IFERROR(INDEX($F$12:$F$21,MATCH(($A71+7),$E$12:$E$21,1)+1),INDEX($F$12:$F$21,MATCH(($A71+7),$E$12:$E$21,1)))-INDEX($F$12:$F$21,MATCH(($A71+7),$E$12:$E$21,1)))/IF((IFERROR(INDEX($E$12:$E$21,MATCH(($A71+7),$E$12:$E$21,1)+1),INDEX($E$12:$E$21,MATCH(($A71+7),$E$12:$E$21,1))+1)-INDEX($E$12:$E$21,MATCH(($A71+7),$E$12:$E$21,1)))=0,1,IFERROR(INDEX($E$12:$E$21,MATCH(($A71+7),$E$12:$E$21,1)+1),INDEX($E$12:$E$21,MATCH(($A71+7),$E$12:$E$21,1))+1)-INDEX($E$12:$E$21,MATCH(($A71+7),$E$12:$E$21,1)))),$F$12) * (($B$9 * (($A71+7)/100)) + (($B$10 * (($A71+7)/100)^2) * $B$12)))</f>
        <v/>
      </c>
      <c r="J71" s="12" t="str">
        <f>IF(($A71+8)&gt;$B$11, "", IFERROR((INDEX($F$12:$F$21,MATCH(($A71+8),$E$12:$E$21,1))+(($A71+8)-INDEX($E$12:$E$21,MATCH(($A71+8),$E$12:$E$21,1)))*(IFERROR(INDEX($F$12:$F$21,MATCH(($A71+8),$E$12:$E$21,1)+1),INDEX($F$12:$F$21,MATCH(($A71+8),$E$12:$E$21,1)))-INDEX($F$12:$F$21,MATCH(($A71+8),$E$12:$E$21,1)))/IF((IFERROR(INDEX($E$12:$E$21,MATCH(($A71+8),$E$12:$E$21,1)+1),INDEX($E$12:$E$21,MATCH(($A71+8),$E$12:$E$21,1))+1)-INDEX($E$12:$E$21,MATCH(($A71+8),$E$12:$E$21,1)))=0,1,IFERROR(INDEX($E$12:$E$21,MATCH(($A71+8),$E$12:$E$21,1)+1),INDEX($E$12:$E$21,MATCH(($A71+8),$E$12:$E$21,1))+1)-INDEX($E$12:$E$21,MATCH(($A71+8),$E$12:$E$21,1)))),$F$12) * (($B$9 * (($A71+8)/100)) + (($B$10 * (($A71+8)/100)^2) * $B$12)))</f>
        <v/>
      </c>
      <c r="K71" s="12" t="str">
        <f>IF(($A71+9)&gt;$B$11, "", IFERROR((INDEX($F$12:$F$21,MATCH(($A71+9),$E$12:$E$21,1))+(($A71+9)-INDEX($E$12:$E$21,MATCH(($A71+9),$E$12:$E$21,1)))*(IFERROR(INDEX($F$12:$F$21,MATCH(($A71+9),$E$12:$E$21,1)+1),INDEX($F$12:$F$21,MATCH(($A71+9),$E$12:$E$21,1)))-INDEX($F$12:$F$21,MATCH(($A71+9),$E$12:$E$21,1)))/IF((IFERROR(INDEX($E$12:$E$21,MATCH(($A71+9),$E$12:$E$21,1)+1),INDEX($E$12:$E$21,MATCH(($A71+9),$E$12:$E$21,1))+1)-INDEX($E$12:$E$21,MATCH(($A71+9),$E$12:$E$21,1)))=0,1,IFERROR(INDEX($E$12:$E$21,MATCH(($A71+9),$E$12:$E$21,1)+1),INDEX($E$12:$E$21,MATCH(($A71+9),$E$12:$E$21,1))+1)-INDEX($E$12:$E$21,MATCH(($A71+9),$E$12:$E$21,1)))),$F$12) * (($B$9 * (($A71+9)/100)) + (($B$10 * (($A71+9)/100)^2) * $B$12)))</f>
        <v/>
      </c>
    </row>
    <row r="72">
      <c r="A72" s="11">
        <v>360</v>
      </c>
      <c r="B72" s="12" t="str">
        <f>IF(($A72+0)&gt;$B$11, "", IFERROR((INDEX($F$12:$F$21,MATCH(($A72+0),$E$12:$E$21,1))+(($A72+0)-INDEX($E$12:$E$21,MATCH(($A72+0),$E$12:$E$21,1)))*(IFERROR(INDEX($F$12:$F$21,MATCH(($A72+0),$E$12:$E$21,1)+1),INDEX($F$12:$F$21,MATCH(($A72+0),$E$12:$E$21,1)))-INDEX($F$12:$F$21,MATCH(($A72+0),$E$12:$E$21,1)))/IF((IFERROR(INDEX($E$12:$E$21,MATCH(($A72+0),$E$12:$E$21,1)+1),INDEX($E$12:$E$21,MATCH(($A72+0),$E$12:$E$21,1))+1)-INDEX($E$12:$E$21,MATCH(($A72+0),$E$12:$E$21,1)))=0,1,IFERROR(INDEX($E$12:$E$21,MATCH(($A72+0),$E$12:$E$21,1)+1),INDEX($E$12:$E$21,MATCH(($A72+0),$E$12:$E$21,1))+1)-INDEX($E$12:$E$21,MATCH(($A72+0),$E$12:$E$21,1)))),$F$12) * (($B$9 * (($A72+0)/100)) + (($B$10 * (($A72+0)/100)^2) * $B$12)))</f>
        <v/>
      </c>
      <c r="C72" s="12" t="str">
        <f>IF(($A72+1)&gt;$B$11, "", IFERROR((INDEX($F$12:$F$21,MATCH(($A72+1),$E$12:$E$21,1))+(($A72+1)-INDEX($E$12:$E$21,MATCH(($A72+1),$E$12:$E$21,1)))*(IFERROR(INDEX($F$12:$F$21,MATCH(($A72+1),$E$12:$E$21,1)+1),INDEX($F$12:$F$21,MATCH(($A72+1),$E$12:$E$21,1)))-INDEX($F$12:$F$21,MATCH(($A72+1),$E$12:$E$21,1)))/IF((IFERROR(INDEX($E$12:$E$21,MATCH(($A72+1),$E$12:$E$21,1)+1),INDEX($E$12:$E$21,MATCH(($A72+1),$E$12:$E$21,1))+1)-INDEX($E$12:$E$21,MATCH(($A72+1),$E$12:$E$21,1)))=0,1,IFERROR(INDEX($E$12:$E$21,MATCH(($A72+1),$E$12:$E$21,1)+1),INDEX($E$12:$E$21,MATCH(($A72+1),$E$12:$E$21,1))+1)-INDEX($E$12:$E$21,MATCH(($A72+1),$E$12:$E$21,1)))),$F$12) * (($B$9 * (($A72+1)/100)) + (($B$10 * (($A72+1)/100)^2) * $B$12)))</f>
        <v/>
      </c>
      <c r="D72" s="12" t="str">
        <f>IF(($A72+2)&gt;$B$11, "", IFERROR((INDEX($F$12:$F$21,MATCH(($A72+2),$E$12:$E$21,1))+(($A72+2)-INDEX($E$12:$E$21,MATCH(($A72+2),$E$12:$E$21,1)))*(IFERROR(INDEX($F$12:$F$21,MATCH(($A72+2),$E$12:$E$21,1)+1),INDEX($F$12:$F$21,MATCH(($A72+2),$E$12:$E$21,1)))-INDEX($F$12:$F$21,MATCH(($A72+2),$E$12:$E$21,1)))/IF((IFERROR(INDEX($E$12:$E$21,MATCH(($A72+2),$E$12:$E$21,1)+1),INDEX($E$12:$E$21,MATCH(($A72+2),$E$12:$E$21,1))+1)-INDEX($E$12:$E$21,MATCH(($A72+2),$E$12:$E$21,1)))=0,1,IFERROR(INDEX($E$12:$E$21,MATCH(($A72+2),$E$12:$E$21,1)+1),INDEX($E$12:$E$21,MATCH(($A72+2),$E$12:$E$21,1))+1)-INDEX($E$12:$E$21,MATCH(($A72+2),$E$12:$E$21,1)))),$F$12) * (($B$9 * (($A72+2)/100)) + (($B$10 * (($A72+2)/100)^2) * $B$12)))</f>
        <v/>
      </c>
      <c r="E72" s="12" t="str">
        <f>IF(($A72+3)&gt;$B$11, "", IFERROR((INDEX($F$12:$F$21,MATCH(($A72+3),$E$12:$E$21,1))+(($A72+3)-INDEX($E$12:$E$21,MATCH(($A72+3),$E$12:$E$21,1)))*(IFERROR(INDEX($F$12:$F$21,MATCH(($A72+3),$E$12:$E$21,1)+1),INDEX($F$12:$F$21,MATCH(($A72+3),$E$12:$E$21,1)))-INDEX($F$12:$F$21,MATCH(($A72+3),$E$12:$E$21,1)))/IF((IFERROR(INDEX($E$12:$E$21,MATCH(($A72+3),$E$12:$E$21,1)+1),INDEX($E$12:$E$21,MATCH(($A72+3),$E$12:$E$21,1))+1)-INDEX($E$12:$E$21,MATCH(($A72+3),$E$12:$E$21,1)))=0,1,IFERROR(INDEX($E$12:$E$21,MATCH(($A72+3),$E$12:$E$21,1)+1),INDEX($E$12:$E$21,MATCH(($A72+3),$E$12:$E$21,1))+1)-INDEX($E$12:$E$21,MATCH(($A72+3),$E$12:$E$21,1)))),$F$12) * (($B$9 * (($A72+3)/100)) + (($B$10 * (($A72+3)/100)^2) * $B$12)))</f>
        <v/>
      </c>
      <c r="F72" s="12" t="str">
        <f>IF(($A72+4)&gt;$B$11, "", IFERROR((INDEX($F$12:$F$21,MATCH(($A72+4),$E$12:$E$21,1))+(($A72+4)-INDEX($E$12:$E$21,MATCH(($A72+4),$E$12:$E$21,1)))*(IFERROR(INDEX($F$12:$F$21,MATCH(($A72+4),$E$12:$E$21,1)+1),INDEX($F$12:$F$21,MATCH(($A72+4),$E$12:$E$21,1)))-INDEX($F$12:$F$21,MATCH(($A72+4),$E$12:$E$21,1)))/IF((IFERROR(INDEX($E$12:$E$21,MATCH(($A72+4),$E$12:$E$21,1)+1),INDEX($E$12:$E$21,MATCH(($A72+4),$E$12:$E$21,1))+1)-INDEX($E$12:$E$21,MATCH(($A72+4),$E$12:$E$21,1)))=0,1,IFERROR(INDEX($E$12:$E$21,MATCH(($A72+4),$E$12:$E$21,1)+1),INDEX($E$12:$E$21,MATCH(($A72+4),$E$12:$E$21,1))+1)-INDEX($E$12:$E$21,MATCH(($A72+4),$E$12:$E$21,1)))),$F$12) * (($B$9 * (($A72+4)/100)) + (($B$10 * (($A72+4)/100)^2) * $B$12)))</f>
        <v/>
      </c>
      <c r="G72" s="12" t="str">
        <f>IF(($A72+5)&gt;$B$11, "", IFERROR((INDEX($F$12:$F$21,MATCH(($A72+5),$E$12:$E$21,1))+(($A72+5)-INDEX($E$12:$E$21,MATCH(($A72+5),$E$12:$E$21,1)))*(IFERROR(INDEX($F$12:$F$21,MATCH(($A72+5),$E$12:$E$21,1)+1),INDEX($F$12:$F$21,MATCH(($A72+5),$E$12:$E$21,1)))-INDEX($F$12:$F$21,MATCH(($A72+5),$E$12:$E$21,1)))/IF((IFERROR(INDEX($E$12:$E$21,MATCH(($A72+5),$E$12:$E$21,1)+1),INDEX($E$12:$E$21,MATCH(($A72+5),$E$12:$E$21,1))+1)-INDEX($E$12:$E$21,MATCH(($A72+5),$E$12:$E$21,1)))=0,1,IFERROR(INDEX($E$12:$E$21,MATCH(($A72+5),$E$12:$E$21,1)+1),INDEX($E$12:$E$21,MATCH(($A72+5),$E$12:$E$21,1))+1)-INDEX($E$12:$E$21,MATCH(($A72+5),$E$12:$E$21,1)))),$F$12) * (($B$9 * (($A72+5)/100)) + (($B$10 * (($A72+5)/100)^2) * $B$12)))</f>
        <v/>
      </c>
      <c r="H72" s="12" t="str">
        <f>IF(($A72+6)&gt;$B$11, "", IFERROR((INDEX($F$12:$F$21,MATCH(($A72+6),$E$12:$E$21,1))+(($A72+6)-INDEX($E$12:$E$21,MATCH(($A72+6),$E$12:$E$21,1)))*(IFERROR(INDEX($F$12:$F$21,MATCH(($A72+6),$E$12:$E$21,1)+1),INDEX($F$12:$F$21,MATCH(($A72+6),$E$12:$E$21,1)))-INDEX($F$12:$F$21,MATCH(($A72+6),$E$12:$E$21,1)))/IF((IFERROR(INDEX($E$12:$E$21,MATCH(($A72+6),$E$12:$E$21,1)+1),INDEX($E$12:$E$21,MATCH(($A72+6),$E$12:$E$21,1))+1)-INDEX($E$12:$E$21,MATCH(($A72+6),$E$12:$E$21,1)))=0,1,IFERROR(INDEX($E$12:$E$21,MATCH(($A72+6),$E$12:$E$21,1)+1),INDEX($E$12:$E$21,MATCH(($A72+6),$E$12:$E$21,1))+1)-INDEX($E$12:$E$21,MATCH(($A72+6),$E$12:$E$21,1)))),$F$12) * (($B$9 * (($A72+6)/100)) + (($B$10 * (($A72+6)/100)^2) * $B$12)))</f>
        <v/>
      </c>
      <c r="I72" s="12" t="str">
        <f>IF(($A72+7)&gt;$B$11, "", IFERROR((INDEX($F$12:$F$21,MATCH(($A72+7),$E$12:$E$21,1))+(($A72+7)-INDEX($E$12:$E$21,MATCH(($A72+7),$E$12:$E$21,1)))*(IFERROR(INDEX($F$12:$F$21,MATCH(($A72+7),$E$12:$E$21,1)+1),INDEX($F$12:$F$21,MATCH(($A72+7),$E$12:$E$21,1)))-INDEX($F$12:$F$21,MATCH(($A72+7),$E$12:$E$21,1)))/IF((IFERROR(INDEX($E$12:$E$21,MATCH(($A72+7),$E$12:$E$21,1)+1),INDEX($E$12:$E$21,MATCH(($A72+7),$E$12:$E$21,1))+1)-INDEX($E$12:$E$21,MATCH(($A72+7),$E$12:$E$21,1)))=0,1,IFERROR(INDEX($E$12:$E$21,MATCH(($A72+7),$E$12:$E$21,1)+1),INDEX($E$12:$E$21,MATCH(($A72+7),$E$12:$E$21,1))+1)-INDEX($E$12:$E$21,MATCH(($A72+7),$E$12:$E$21,1)))),$F$12) * (($B$9 * (($A72+7)/100)) + (($B$10 * (($A72+7)/100)^2) * $B$12)))</f>
        <v/>
      </c>
      <c r="J72" s="12" t="str">
        <f>IF(($A72+8)&gt;$B$11, "", IFERROR((INDEX($F$12:$F$21,MATCH(($A72+8),$E$12:$E$21,1))+(($A72+8)-INDEX($E$12:$E$21,MATCH(($A72+8),$E$12:$E$21,1)))*(IFERROR(INDEX($F$12:$F$21,MATCH(($A72+8),$E$12:$E$21,1)+1),INDEX($F$12:$F$21,MATCH(($A72+8),$E$12:$E$21,1)))-INDEX($F$12:$F$21,MATCH(($A72+8),$E$12:$E$21,1)))/IF((IFERROR(INDEX($E$12:$E$21,MATCH(($A72+8),$E$12:$E$21,1)+1),INDEX($E$12:$E$21,MATCH(($A72+8),$E$12:$E$21,1))+1)-INDEX($E$12:$E$21,MATCH(($A72+8),$E$12:$E$21,1)))=0,1,IFERROR(INDEX($E$12:$E$21,MATCH(($A72+8),$E$12:$E$21,1)+1),INDEX($E$12:$E$21,MATCH(($A72+8),$E$12:$E$21,1))+1)-INDEX($E$12:$E$21,MATCH(($A72+8),$E$12:$E$21,1)))),$F$12) * (($B$9 * (($A72+8)/100)) + (($B$10 * (($A72+8)/100)^2) * $B$12)))</f>
        <v/>
      </c>
      <c r="K72" s="12" t="str">
        <f>IF(($A72+9)&gt;$B$11, "", IFERROR((INDEX($F$12:$F$21,MATCH(($A72+9),$E$12:$E$21,1))+(($A72+9)-INDEX($E$12:$E$21,MATCH(($A72+9),$E$12:$E$21,1)))*(IFERROR(INDEX($F$12:$F$21,MATCH(($A72+9),$E$12:$E$21,1)+1),INDEX($F$12:$F$21,MATCH(($A72+9),$E$12:$E$21,1)))-INDEX($F$12:$F$21,MATCH(($A72+9),$E$12:$E$21,1)))/IF((IFERROR(INDEX($E$12:$E$21,MATCH(($A72+9),$E$12:$E$21,1)+1),INDEX($E$12:$E$21,MATCH(($A72+9),$E$12:$E$21,1))+1)-INDEX($E$12:$E$21,MATCH(($A72+9),$E$12:$E$21,1)))=0,1,IFERROR(INDEX($E$12:$E$21,MATCH(($A72+9),$E$12:$E$21,1)+1),INDEX($E$12:$E$21,MATCH(($A72+9),$E$12:$E$21,1))+1)-INDEX($E$12:$E$21,MATCH(($A72+9),$E$12:$E$21,1)))),$F$12) * (($B$9 * (($A72+9)/100)) + (($B$10 * (($A72+9)/100)^2) * $B$12)))</f>
        <v/>
      </c>
    </row>
    <row r="73">
      <c r="A73" s="11">
        <v>370</v>
      </c>
      <c r="B73" s="12" t="str">
        <f>IF(($A73+0)&gt;$B$11, "", IFERROR((INDEX($F$12:$F$21,MATCH(($A73+0),$E$12:$E$21,1))+(($A73+0)-INDEX($E$12:$E$21,MATCH(($A73+0),$E$12:$E$21,1)))*(IFERROR(INDEX($F$12:$F$21,MATCH(($A73+0),$E$12:$E$21,1)+1),INDEX($F$12:$F$21,MATCH(($A73+0),$E$12:$E$21,1)))-INDEX($F$12:$F$21,MATCH(($A73+0),$E$12:$E$21,1)))/IF((IFERROR(INDEX($E$12:$E$21,MATCH(($A73+0),$E$12:$E$21,1)+1),INDEX($E$12:$E$21,MATCH(($A73+0),$E$12:$E$21,1))+1)-INDEX($E$12:$E$21,MATCH(($A73+0),$E$12:$E$21,1)))=0,1,IFERROR(INDEX($E$12:$E$21,MATCH(($A73+0),$E$12:$E$21,1)+1),INDEX($E$12:$E$21,MATCH(($A73+0),$E$12:$E$21,1))+1)-INDEX($E$12:$E$21,MATCH(($A73+0),$E$12:$E$21,1)))),$F$12) * (($B$9 * (($A73+0)/100)) + (($B$10 * (($A73+0)/100)^2) * $B$12)))</f>
        <v/>
      </c>
      <c r="C73" s="12" t="str">
        <f>IF(($A73+1)&gt;$B$11, "", IFERROR((INDEX($F$12:$F$21,MATCH(($A73+1),$E$12:$E$21,1))+(($A73+1)-INDEX($E$12:$E$21,MATCH(($A73+1),$E$12:$E$21,1)))*(IFERROR(INDEX($F$12:$F$21,MATCH(($A73+1),$E$12:$E$21,1)+1),INDEX($F$12:$F$21,MATCH(($A73+1),$E$12:$E$21,1)))-INDEX($F$12:$F$21,MATCH(($A73+1),$E$12:$E$21,1)))/IF((IFERROR(INDEX($E$12:$E$21,MATCH(($A73+1),$E$12:$E$21,1)+1),INDEX($E$12:$E$21,MATCH(($A73+1),$E$12:$E$21,1))+1)-INDEX($E$12:$E$21,MATCH(($A73+1),$E$12:$E$21,1)))=0,1,IFERROR(INDEX($E$12:$E$21,MATCH(($A73+1),$E$12:$E$21,1)+1),INDEX($E$12:$E$21,MATCH(($A73+1),$E$12:$E$21,1))+1)-INDEX($E$12:$E$21,MATCH(($A73+1),$E$12:$E$21,1)))),$F$12) * (($B$9 * (($A73+1)/100)) + (($B$10 * (($A73+1)/100)^2) * $B$12)))</f>
        <v/>
      </c>
      <c r="D73" s="12" t="str">
        <f>IF(($A73+2)&gt;$B$11, "", IFERROR((INDEX($F$12:$F$21,MATCH(($A73+2),$E$12:$E$21,1))+(($A73+2)-INDEX($E$12:$E$21,MATCH(($A73+2),$E$12:$E$21,1)))*(IFERROR(INDEX($F$12:$F$21,MATCH(($A73+2),$E$12:$E$21,1)+1),INDEX($F$12:$F$21,MATCH(($A73+2),$E$12:$E$21,1)))-INDEX($F$12:$F$21,MATCH(($A73+2),$E$12:$E$21,1)))/IF((IFERROR(INDEX($E$12:$E$21,MATCH(($A73+2),$E$12:$E$21,1)+1),INDEX($E$12:$E$21,MATCH(($A73+2),$E$12:$E$21,1))+1)-INDEX($E$12:$E$21,MATCH(($A73+2),$E$12:$E$21,1)))=0,1,IFERROR(INDEX($E$12:$E$21,MATCH(($A73+2),$E$12:$E$21,1)+1),INDEX($E$12:$E$21,MATCH(($A73+2),$E$12:$E$21,1))+1)-INDEX($E$12:$E$21,MATCH(($A73+2),$E$12:$E$21,1)))),$F$12) * (($B$9 * (($A73+2)/100)) + (($B$10 * (($A73+2)/100)^2) * $B$12)))</f>
        <v/>
      </c>
      <c r="E73" s="12" t="str">
        <f>IF(($A73+3)&gt;$B$11, "", IFERROR((INDEX($F$12:$F$21,MATCH(($A73+3),$E$12:$E$21,1))+(($A73+3)-INDEX($E$12:$E$21,MATCH(($A73+3),$E$12:$E$21,1)))*(IFERROR(INDEX($F$12:$F$21,MATCH(($A73+3),$E$12:$E$21,1)+1),INDEX($F$12:$F$21,MATCH(($A73+3),$E$12:$E$21,1)))-INDEX($F$12:$F$21,MATCH(($A73+3),$E$12:$E$21,1)))/IF((IFERROR(INDEX($E$12:$E$21,MATCH(($A73+3),$E$12:$E$21,1)+1),INDEX($E$12:$E$21,MATCH(($A73+3),$E$12:$E$21,1))+1)-INDEX($E$12:$E$21,MATCH(($A73+3),$E$12:$E$21,1)))=0,1,IFERROR(INDEX($E$12:$E$21,MATCH(($A73+3),$E$12:$E$21,1)+1),INDEX($E$12:$E$21,MATCH(($A73+3),$E$12:$E$21,1))+1)-INDEX($E$12:$E$21,MATCH(($A73+3),$E$12:$E$21,1)))),$F$12) * (($B$9 * (($A73+3)/100)) + (($B$10 * (($A73+3)/100)^2) * $B$12)))</f>
        <v/>
      </c>
      <c r="F73" s="12" t="str">
        <f>IF(($A73+4)&gt;$B$11, "", IFERROR((INDEX($F$12:$F$21,MATCH(($A73+4),$E$12:$E$21,1))+(($A73+4)-INDEX($E$12:$E$21,MATCH(($A73+4),$E$12:$E$21,1)))*(IFERROR(INDEX($F$12:$F$21,MATCH(($A73+4),$E$12:$E$21,1)+1),INDEX($F$12:$F$21,MATCH(($A73+4),$E$12:$E$21,1)))-INDEX($F$12:$F$21,MATCH(($A73+4),$E$12:$E$21,1)))/IF((IFERROR(INDEX($E$12:$E$21,MATCH(($A73+4),$E$12:$E$21,1)+1),INDEX($E$12:$E$21,MATCH(($A73+4),$E$12:$E$21,1))+1)-INDEX($E$12:$E$21,MATCH(($A73+4),$E$12:$E$21,1)))=0,1,IFERROR(INDEX($E$12:$E$21,MATCH(($A73+4),$E$12:$E$21,1)+1),INDEX($E$12:$E$21,MATCH(($A73+4),$E$12:$E$21,1))+1)-INDEX($E$12:$E$21,MATCH(($A73+4),$E$12:$E$21,1)))),$F$12) * (($B$9 * (($A73+4)/100)) + (($B$10 * (($A73+4)/100)^2) * $B$12)))</f>
        <v/>
      </c>
      <c r="G73" s="12" t="str">
        <f>IF(($A73+5)&gt;$B$11, "", IFERROR((INDEX($F$12:$F$21,MATCH(($A73+5),$E$12:$E$21,1))+(($A73+5)-INDEX($E$12:$E$21,MATCH(($A73+5),$E$12:$E$21,1)))*(IFERROR(INDEX($F$12:$F$21,MATCH(($A73+5),$E$12:$E$21,1)+1),INDEX($F$12:$F$21,MATCH(($A73+5),$E$12:$E$21,1)))-INDEX($F$12:$F$21,MATCH(($A73+5),$E$12:$E$21,1)))/IF((IFERROR(INDEX($E$12:$E$21,MATCH(($A73+5),$E$12:$E$21,1)+1),INDEX($E$12:$E$21,MATCH(($A73+5),$E$12:$E$21,1))+1)-INDEX($E$12:$E$21,MATCH(($A73+5),$E$12:$E$21,1)))=0,1,IFERROR(INDEX($E$12:$E$21,MATCH(($A73+5),$E$12:$E$21,1)+1),INDEX($E$12:$E$21,MATCH(($A73+5),$E$12:$E$21,1))+1)-INDEX($E$12:$E$21,MATCH(($A73+5),$E$12:$E$21,1)))),$F$12) * (($B$9 * (($A73+5)/100)) + (($B$10 * (($A73+5)/100)^2) * $B$12)))</f>
        <v/>
      </c>
      <c r="H73" s="12" t="str">
        <f>IF(($A73+6)&gt;$B$11, "", IFERROR((INDEX($F$12:$F$21,MATCH(($A73+6),$E$12:$E$21,1))+(($A73+6)-INDEX($E$12:$E$21,MATCH(($A73+6),$E$12:$E$21,1)))*(IFERROR(INDEX($F$12:$F$21,MATCH(($A73+6),$E$12:$E$21,1)+1),INDEX($F$12:$F$21,MATCH(($A73+6),$E$12:$E$21,1)))-INDEX($F$12:$F$21,MATCH(($A73+6),$E$12:$E$21,1)))/IF((IFERROR(INDEX($E$12:$E$21,MATCH(($A73+6),$E$12:$E$21,1)+1),INDEX($E$12:$E$21,MATCH(($A73+6),$E$12:$E$21,1))+1)-INDEX($E$12:$E$21,MATCH(($A73+6),$E$12:$E$21,1)))=0,1,IFERROR(INDEX($E$12:$E$21,MATCH(($A73+6),$E$12:$E$21,1)+1),INDEX($E$12:$E$21,MATCH(($A73+6),$E$12:$E$21,1))+1)-INDEX($E$12:$E$21,MATCH(($A73+6),$E$12:$E$21,1)))),$F$12) * (($B$9 * (($A73+6)/100)) + (($B$10 * (($A73+6)/100)^2) * $B$12)))</f>
        <v/>
      </c>
      <c r="I73" s="12" t="str">
        <f>IF(($A73+7)&gt;$B$11, "", IFERROR((INDEX($F$12:$F$21,MATCH(($A73+7),$E$12:$E$21,1))+(($A73+7)-INDEX($E$12:$E$21,MATCH(($A73+7),$E$12:$E$21,1)))*(IFERROR(INDEX($F$12:$F$21,MATCH(($A73+7),$E$12:$E$21,1)+1),INDEX($F$12:$F$21,MATCH(($A73+7),$E$12:$E$21,1)))-INDEX($F$12:$F$21,MATCH(($A73+7),$E$12:$E$21,1)))/IF((IFERROR(INDEX($E$12:$E$21,MATCH(($A73+7),$E$12:$E$21,1)+1),INDEX($E$12:$E$21,MATCH(($A73+7),$E$12:$E$21,1))+1)-INDEX($E$12:$E$21,MATCH(($A73+7),$E$12:$E$21,1)))=0,1,IFERROR(INDEX($E$12:$E$21,MATCH(($A73+7),$E$12:$E$21,1)+1),INDEX($E$12:$E$21,MATCH(($A73+7),$E$12:$E$21,1))+1)-INDEX($E$12:$E$21,MATCH(($A73+7),$E$12:$E$21,1)))),$F$12) * (($B$9 * (($A73+7)/100)) + (($B$10 * (($A73+7)/100)^2) * $B$12)))</f>
        <v/>
      </c>
      <c r="J73" s="12" t="str">
        <f>IF(($A73+8)&gt;$B$11, "", IFERROR((INDEX($F$12:$F$21,MATCH(($A73+8),$E$12:$E$21,1))+(($A73+8)-INDEX($E$12:$E$21,MATCH(($A73+8),$E$12:$E$21,1)))*(IFERROR(INDEX($F$12:$F$21,MATCH(($A73+8),$E$12:$E$21,1)+1),INDEX($F$12:$F$21,MATCH(($A73+8),$E$12:$E$21,1)))-INDEX($F$12:$F$21,MATCH(($A73+8),$E$12:$E$21,1)))/IF((IFERROR(INDEX($E$12:$E$21,MATCH(($A73+8),$E$12:$E$21,1)+1),INDEX($E$12:$E$21,MATCH(($A73+8),$E$12:$E$21,1))+1)-INDEX($E$12:$E$21,MATCH(($A73+8),$E$12:$E$21,1)))=0,1,IFERROR(INDEX($E$12:$E$21,MATCH(($A73+8),$E$12:$E$21,1)+1),INDEX($E$12:$E$21,MATCH(($A73+8),$E$12:$E$21,1))+1)-INDEX($E$12:$E$21,MATCH(($A73+8),$E$12:$E$21,1)))),$F$12) * (($B$9 * (($A73+8)/100)) + (($B$10 * (($A73+8)/100)^2) * $B$12)))</f>
        <v/>
      </c>
      <c r="K73" s="12" t="str">
        <f>IF(($A73+9)&gt;$B$11, "", IFERROR((INDEX($F$12:$F$21,MATCH(($A73+9),$E$12:$E$21,1))+(($A73+9)-INDEX($E$12:$E$21,MATCH(($A73+9),$E$12:$E$21,1)))*(IFERROR(INDEX($F$12:$F$21,MATCH(($A73+9),$E$12:$E$21,1)+1),INDEX($F$12:$F$21,MATCH(($A73+9),$E$12:$E$21,1)))-INDEX($F$12:$F$21,MATCH(($A73+9),$E$12:$E$21,1)))/IF((IFERROR(INDEX($E$12:$E$21,MATCH(($A73+9),$E$12:$E$21,1)+1),INDEX($E$12:$E$21,MATCH(($A73+9),$E$12:$E$21,1))+1)-INDEX($E$12:$E$21,MATCH(($A73+9),$E$12:$E$21,1)))=0,1,IFERROR(INDEX($E$12:$E$21,MATCH(($A73+9),$E$12:$E$21,1)+1),INDEX($E$12:$E$21,MATCH(($A73+9),$E$12:$E$21,1))+1)-INDEX($E$12:$E$21,MATCH(($A73+9),$E$12:$E$21,1)))),$F$12) * (($B$9 * (($A73+9)/100)) + (($B$10 * (($A73+9)/100)^2) * $B$12)))</f>
        <v/>
      </c>
    </row>
    <row r="74">
      <c r="A74" s="11">
        <v>380</v>
      </c>
      <c r="B74" s="12" t="str">
        <f>IF(($A74+0)&gt;$B$11, "", IFERROR((INDEX($F$12:$F$21,MATCH(($A74+0),$E$12:$E$21,1))+(($A74+0)-INDEX($E$12:$E$21,MATCH(($A74+0),$E$12:$E$21,1)))*(IFERROR(INDEX($F$12:$F$21,MATCH(($A74+0),$E$12:$E$21,1)+1),INDEX($F$12:$F$21,MATCH(($A74+0),$E$12:$E$21,1)))-INDEX($F$12:$F$21,MATCH(($A74+0),$E$12:$E$21,1)))/IF((IFERROR(INDEX($E$12:$E$21,MATCH(($A74+0),$E$12:$E$21,1)+1),INDEX($E$12:$E$21,MATCH(($A74+0),$E$12:$E$21,1))+1)-INDEX($E$12:$E$21,MATCH(($A74+0),$E$12:$E$21,1)))=0,1,IFERROR(INDEX($E$12:$E$21,MATCH(($A74+0),$E$12:$E$21,1)+1),INDEX($E$12:$E$21,MATCH(($A74+0),$E$12:$E$21,1))+1)-INDEX($E$12:$E$21,MATCH(($A74+0),$E$12:$E$21,1)))),$F$12) * (($B$9 * (($A74+0)/100)) + (($B$10 * (($A74+0)/100)^2) * $B$12)))</f>
        <v/>
      </c>
      <c r="C74" s="12" t="str">
        <f>IF(($A74+1)&gt;$B$11, "", IFERROR((INDEX($F$12:$F$21,MATCH(($A74+1),$E$12:$E$21,1))+(($A74+1)-INDEX($E$12:$E$21,MATCH(($A74+1),$E$12:$E$21,1)))*(IFERROR(INDEX($F$12:$F$21,MATCH(($A74+1),$E$12:$E$21,1)+1),INDEX($F$12:$F$21,MATCH(($A74+1),$E$12:$E$21,1)))-INDEX($F$12:$F$21,MATCH(($A74+1),$E$12:$E$21,1)))/IF((IFERROR(INDEX($E$12:$E$21,MATCH(($A74+1),$E$12:$E$21,1)+1),INDEX($E$12:$E$21,MATCH(($A74+1),$E$12:$E$21,1))+1)-INDEX($E$12:$E$21,MATCH(($A74+1),$E$12:$E$21,1)))=0,1,IFERROR(INDEX($E$12:$E$21,MATCH(($A74+1),$E$12:$E$21,1)+1),INDEX($E$12:$E$21,MATCH(($A74+1),$E$12:$E$21,1))+1)-INDEX($E$12:$E$21,MATCH(($A74+1),$E$12:$E$21,1)))),$F$12) * (($B$9 * (($A74+1)/100)) + (($B$10 * (($A74+1)/100)^2) * $B$12)))</f>
        <v/>
      </c>
      <c r="D74" s="12" t="str">
        <f>IF(($A74+2)&gt;$B$11, "", IFERROR((INDEX($F$12:$F$21,MATCH(($A74+2),$E$12:$E$21,1))+(($A74+2)-INDEX($E$12:$E$21,MATCH(($A74+2),$E$12:$E$21,1)))*(IFERROR(INDEX($F$12:$F$21,MATCH(($A74+2),$E$12:$E$21,1)+1),INDEX($F$12:$F$21,MATCH(($A74+2),$E$12:$E$21,1)))-INDEX($F$12:$F$21,MATCH(($A74+2),$E$12:$E$21,1)))/IF((IFERROR(INDEX($E$12:$E$21,MATCH(($A74+2),$E$12:$E$21,1)+1),INDEX($E$12:$E$21,MATCH(($A74+2),$E$12:$E$21,1))+1)-INDEX($E$12:$E$21,MATCH(($A74+2),$E$12:$E$21,1)))=0,1,IFERROR(INDEX($E$12:$E$21,MATCH(($A74+2),$E$12:$E$21,1)+1),INDEX($E$12:$E$21,MATCH(($A74+2),$E$12:$E$21,1))+1)-INDEX($E$12:$E$21,MATCH(($A74+2),$E$12:$E$21,1)))),$F$12) * (($B$9 * (($A74+2)/100)) + (($B$10 * (($A74+2)/100)^2) * $B$12)))</f>
        <v/>
      </c>
      <c r="E74" s="12" t="str">
        <f>IF(($A74+3)&gt;$B$11, "", IFERROR((INDEX($F$12:$F$21,MATCH(($A74+3),$E$12:$E$21,1))+(($A74+3)-INDEX($E$12:$E$21,MATCH(($A74+3),$E$12:$E$21,1)))*(IFERROR(INDEX($F$12:$F$21,MATCH(($A74+3),$E$12:$E$21,1)+1),INDEX($F$12:$F$21,MATCH(($A74+3),$E$12:$E$21,1)))-INDEX($F$12:$F$21,MATCH(($A74+3),$E$12:$E$21,1)))/IF((IFERROR(INDEX($E$12:$E$21,MATCH(($A74+3),$E$12:$E$21,1)+1),INDEX($E$12:$E$21,MATCH(($A74+3),$E$12:$E$21,1))+1)-INDEX($E$12:$E$21,MATCH(($A74+3),$E$12:$E$21,1)))=0,1,IFERROR(INDEX($E$12:$E$21,MATCH(($A74+3),$E$12:$E$21,1)+1),INDEX($E$12:$E$21,MATCH(($A74+3),$E$12:$E$21,1))+1)-INDEX($E$12:$E$21,MATCH(($A74+3),$E$12:$E$21,1)))),$F$12) * (($B$9 * (($A74+3)/100)) + (($B$10 * (($A74+3)/100)^2) * $B$12)))</f>
        <v/>
      </c>
      <c r="F74" s="12" t="str">
        <f>IF(($A74+4)&gt;$B$11, "", IFERROR((INDEX($F$12:$F$21,MATCH(($A74+4),$E$12:$E$21,1))+(($A74+4)-INDEX($E$12:$E$21,MATCH(($A74+4),$E$12:$E$21,1)))*(IFERROR(INDEX($F$12:$F$21,MATCH(($A74+4),$E$12:$E$21,1)+1),INDEX($F$12:$F$21,MATCH(($A74+4),$E$12:$E$21,1)))-INDEX($F$12:$F$21,MATCH(($A74+4),$E$12:$E$21,1)))/IF((IFERROR(INDEX($E$12:$E$21,MATCH(($A74+4),$E$12:$E$21,1)+1),INDEX($E$12:$E$21,MATCH(($A74+4),$E$12:$E$21,1))+1)-INDEX($E$12:$E$21,MATCH(($A74+4),$E$12:$E$21,1)))=0,1,IFERROR(INDEX($E$12:$E$21,MATCH(($A74+4),$E$12:$E$21,1)+1),INDEX($E$12:$E$21,MATCH(($A74+4),$E$12:$E$21,1))+1)-INDEX($E$12:$E$21,MATCH(($A74+4),$E$12:$E$21,1)))),$F$12) * (($B$9 * (($A74+4)/100)) + (($B$10 * (($A74+4)/100)^2) * $B$12)))</f>
        <v/>
      </c>
      <c r="G74" s="12" t="str">
        <f>IF(($A74+5)&gt;$B$11, "", IFERROR((INDEX($F$12:$F$21,MATCH(($A74+5),$E$12:$E$21,1))+(($A74+5)-INDEX($E$12:$E$21,MATCH(($A74+5),$E$12:$E$21,1)))*(IFERROR(INDEX($F$12:$F$21,MATCH(($A74+5),$E$12:$E$21,1)+1),INDEX($F$12:$F$21,MATCH(($A74+5),$E$12:$E$21,1)))-INDEX($F$12:$F$21,MATCH(($A74+5),$E$12:$E$21,1)))/IF((IFERROR(INDEX($E$12:$E$21,MATCH(($A74+5),$E$12:$E$21,1)+1),INDEX($E$12:$E$21,MATCH(($A74+5),$E$12:$E$21,1))+1)-INDEX($E$12:$E$21,MATCH(($A74+5),$E$12:$E$21,1)))=0,1,IFERROR(INDEX($E$12:$E$21,MATCH(($A74+5),$E$12:$E$21,1)+1),INDEX($E$12:$E$21,MATCH(($A74+5),$E$12:$E$21,1))+1)-INDEX($E$12:$E$21,MATCH(($A74+5),$E$12:$E$21,1)))),$F$12) * (($B$9 * (($A74+5)/100)) + (($B$10 * (($A74+5)/100)^2) * $B$12)))</f>
        <v/>
      </c>
      <c r="H74" s="12" t="str">
        <f>IF(($A74+6)&gt;$B$11, "", IFERROR((INDEX($F$12:$F$21,MATCH(($A74+6),$E$12:$E$21,1))+(($A74+6)-INDEX($E$12:$E$21,MATCH(($A74+6),$E$12:$E$21,1)))*(IFERROR(INDEX($F$12:$F$21,MATCH(($A74+6),$E$12:$E$21,1)+1),INDEX($F$12:$F$21,MATCH(($A74+6),$E$12:$E$21,1)))-INDEX($F$12:$F$21,MATCH(($A74+6),$E$12:$E$21,1)))/IF((IFERROR(INDEX($E$12:$E$21,MATCH(($A74+6),$E$12:$E$21,1)+1),INDEX($E$12:$E$21,MATCH(($A74+6),$E$12:$E$21,1))+1)-INDEX($E$12:$E$21,MATCH(($A74+6),$E$12:$E$21,1)))=0,1,IFERROR(INDEX($E$12:$E$21,MATCH(($A74+6),$E$12:$E$21,1)+1),INDEX($E$12:$E$21,MATCH(($A74+6),$E$12:$E$21,1))+1)-INDEX($E$12:$E$21,MATCH(($A74+6),$E$12:$E$21,1)))),$F$12) * (($B$9 * (($A74+6)/100)) + (($B$10 * (($A74+6)/100)^2) * $B$12)))</f>
        <v/>
      </c>
      <c r="I74" s="12" t="str">
        <f>IF(($A74+7)&gt;$B$11, "", IFERROR((INDEX($F$12:$F$21,MATCH(($A74+7),$E$12:$E$21,1))+(($A74+7)-INDEX($E$12:$E$21,MATCH(($A74+7),$E$12:$E$21,1)))*(IFERROR(INDEX($F$12:$F$21,MATCH(($A74+7),$E$12:$E$21,1)+1),INDEX($F$12:$F$21,MATCH(($A74+7),$E$12:$E$21,1)))-INDEX($F$12:$F$21,MATCH(($A74+7),$E$12:$E$21,1)))/IF((IFERROR(INDEX($E$12:$E$21,MATCH(($A74+7),$E$12:$E$21,1)+1),INDEX($E$12:$E$21,MATCH(($A74+7),$E$12:$E$21,1))+1)-INDEX($E$12:$E$21,MATCH(($A74+7),$E$12:$E$21,1)))=0,1,IFERROR(INDEX($E$12:$E$21,MATCH(($A74+7),$E$12:$E$21,1)+1),INDEX($E$12:$E$21,MATCH(($A74+7),$E$12:$E$21,1))+1)-INDEX($E$12:$E$21,MATCH(($A74+7),$E$12:$E$21,1)))),$F$12) * (($B$9 * (($A74+7)/100)) + (($B$10 * (($A74+7)/100)^2) * $B$12)))</f>
        <v/>
      </c>
      <c r="J74" s="12" t="str">
        <f>IF(($A74+8)&gt;$B$11, "", IFERROR((INDEX($F$12:$F$21,MATCH(($A74+8),$E$12:$E$21,1))+(($A74+8)-INDEX($E$12:$E$21,MATCH(($A74+8),$E$12:$E$21,1)))*(IFERROR(INDEX($F$12:$F$21,MATCH(($A74+8),$E$12:$E$21,1)+1),INDEX($F$12:$F$21,MATCH(($A74+8),$E$12:$E$21,1)))-INDEX($F$12:$F$21,MATCH(($A74+8),$E$12:$E$21,1)))/IF((IFERROR(INDEX($E$12:$E$21,MATCH(($A74+8),$E$12:$E$21,1)+1),INDEX($E$12:$E$21,MATCH(($A74+8),$E$12:$E$21,1))+1)-INDEX($E$12:$E$21,MATCH(($A74+8),$E$12:$E$21,1)))=0,1,IFERROR(INDEX($E$12:$E$21,MATCH(($A74+8),$E$12:$E$21,1)+1),INDEX($E$12:$E$21,MATCH(($A74+8),$E$12:$E$21,1))+1)-INDEX($E$12:$E$21,MATCH(($A74+8),$E$12:$E$21,1)))),$F$12) * (($B$9 * (($A74+8)/100)) + (($B$10 * (($A74+8)/100)^2) * $B$12)))</f>
        <v/>
      </c>
      <c r="K74" s="12" t="str">
        <f>IF(($A74+9)&gt;$B$11, "", IFERROR((INDEX($F$12:$F$21,MATCH(($A74+9),$E$12:$E$21,1))+(($A74+9)-INDEX($E$12:$E$21,MATCH(($A74+9),$E$12:$E$21,1)))*(IFERROR(INDEX($F$12:$F$21,MATCH(($A74+9),$E$12:$E$21,1)+1),INDEX($F$12:$F$21,MATCH(($A74+9),$E$12:$E$21,1)))-INDEX($F$12:$F$21,MATCH(($A74+9),$E$12:$E$21,1)))/IF((IFERROR(INDEX($E$12:$E$21,MATCH(($A74+9),$E$12:$E$21,1)+1),INDEX($E$12:$E$21,MATCH(($A74+9),$E$12:$E$21,1))+1)-INDEX($E$12:$E$21,MATCH(($A74+9),$E$12:$E$21,1)))=0,1,IFERROR(INDEX($E$12:$E$21,MATCH(($A74+9),$E$12:$E$21,1)+1),INDEX($E$12:$E$21,MATCH(($A74+9),$E$12:$E$21,1))+1)-INDEX($E$12:$E$21,MATCH(($A74+9),$E$12:$E$21,1)))),$F$12) * (($B$9 * (($A74+9)/100)) + (($B$10 * (($A74+9)/100)^2) * $B$12)))</f>
        <v/>
      </c>
    </row>
    <row r="75">
      <c r="A75" s="11">
        <v>390</v>
      </c>
      <c r="B75" s="12" t="str">
        <f>IF(($A75+0)&gt;$B$11, "", IFERROR((INDEX($F$12:$F$21,MATCH(($A75+0),$E$12:$E$21,1))+(($A75+0)-INDEX($E$12:$E$21,MATCH(($A75+0),$E$12:$E$21,1)))*(IFERROR(INDEX($F$12:$F$21,MATCH(($A75+0),$E$12:$E$21,1)+1),INDEX($F$12:$F$21,MATCH(($A75+0),$E$12:$E$21,1)))-INDEX($F$12:$F$21,MATCH(($A75+0),$E$12:$E$21,1)))/IF((IFERROR(INDEX($E$12:$E$21,MATCH(($A75+0),$E$12:$E$21,1)+1),INDEX($E$12:$E$21,MATCH(($A75+0),$E$12:$E$21,1))+1)-INDEX($E$12:$E$21,MATCH(($A75+0),$E$12:$E$21,1)))=0,1,IFERROR(INDEX($E$12:$E$21,MATCH(($A75+0),$E$12:$E$21,1)+1),INDEX($E$12:$E$21,MATCH(($A75+0),$E$12:$E$21,1))+1)-INDEX($E$12:$E$21,MATCH(($A75+0),$E$12:$E$21,1)))),$F$12) * (($B$9 * (($A75+0)/100)) + (($B$10 * (($A75+0)/100)^2) * $B$12)))</f>
        <v/>
      </c>
      <c r="C75" s="12" t="str">
        <f>IF(($A75+1)&gt;$B$11, "", IFERROR((INDEX($F$12:$F$21,MATCH(($A75+1),$E$12:$E$21,1))+(($A75+1)-INDEX($E$12:$E$21,MATCH(($A75+1),$E$12:$E$21,1)))*(IFERROR(INDEX($F$12:$F$21,MATCH(($A75+1),$E$12:$E$21,1)+1),INDEX($F$12:$F$21,MATCH(($A75+1),$E$12:$E$21,1)))-INDEX($F$12:$F$21,MATCH(($A75+1),$E$12:$E$21,1)))/IF((IFERROR(INDEX($E$12:$E$21,MATCH(($A75+1),$E$12:$E$21,1)+1),INDEX($E$12:$E$21,MATCH(($A75+1),$E$12:$E$21,1))+1)-INDEX($E$12:$E$21,MATCH(($A75+1),$E$12:$E$21,1)))=0,1,IFERROR(INDEX($E$12:$E$21,MATCH(($A75+1),$E$12:$E$21,1)+1),INDEX($E$12:$E$21,MATCH(($A75+1),$E$12:$E$21,1))+1)-INDEX($E$12:$E$21,MATCH(($A75+1),$E$12:$E$21,1)))),$F$12) * (($B$9 * (($A75+1)/100)) + (($B$10 * (($A75+1)/100)^2) * $B$12)))</f>
        <v/>
      </c>
      <c r="D75" s="12" t="str">
        <f>IF(($A75+2)&gt;$B$11, "", IFERROR((INDEX($F$12:$F$21,MATCH(($A75+2),$E$12:$E$21,1))+(($A75+2)-INDEX($E$12:$E$21,MATCH(($A75+2),$E$12:$E$21,1)))*(IFERROR(INDEX($F$12:$F$21,MATCH(($A75+2),$E$12:$E$21,1)+1),INDEX($F$12:$F$21,MATCH(($A75+2),$E$12:$E$21,1)))-INDEX($F$12:$F$21,MATCH(($A75+2),$E$12:$E$21,1)))/IF((IFERROR(INDEX($E$12:$E$21,MATCH(($A75+2),$E$12:$E$21,1)+1),INDEX($E$12:$E$21,MATCH(($A75+2),$E$12:$E$21,1))+1)-INDEX($E$12:$E$21,MATCH(($A75+2),$E$12:$E$21,1)))=0,1,IFERROR(INDEX($E$12:$E$21,MATCH(($A75+2),$E$12:$E$21,1)+1),INDEX($E$12:$E$21,MATCH(($A75+2),$E$12:$E$21,1))+1)-INDEX($E$12:$E$21,MATCH(($A75+2),$E$12:$E$21,1)))),$F$12) * (($B$9 * (($A75+2)/100)) + (($B$10 * (($A75+2)/100)^2) * $B$12)))</f>
        <v/>
      </c>
      <c r="E75" s="12" t="str">
        <f>IF(($A75+3)&gt;$B$11, "", IFERROR((INDEX($F$12:$F$21,MATCH(($A75+3),$E$12:$E$21,1))+(($A75+3)-INDEX($E$12:$E$21,MATCH(($A75+3),$E$12:$E$21,1)))*(IFERROR(INDEX($F$12:$F$21,MATCH(($A75+3),$E$12:$E$21,1)+1),INDEX($F$12:$F$21,MATCH(($A75+3),$E$12:$E$21,1)))-INDEX($F$12:$F$21,MATCH(($A75+3),$E$12:$E$21,1)))/IF((IFERROR(INDEX($E$12:$E$21,MATCH(($A75+3),$E$12:$E$21,1)+1),INDEX($E$12:$E$21,MATCH(($A75+3),$E$12:$E$21,1))+1)-INDEX($E$12:$E$21,MATCH(($A75+3),$E$12:$E$21,1)))=0,1,IFERROR(INDEX($E$12:$E$21,MATCH(($A75+3),$E$12:$E$21,1)+1),INDEX($E$12:$E$21,MATCH(($A75+3),$E$12:$E$21,1))+1)-INDEX($E$12:$E$21,MATCH(($A75+3),$E$12:$E$21,1)))),$F$12) * (($B$9 * (($A75+3)/100)) + (($B$10 * (($A75+3)/100)^2) * $B$12)))</f>
        <v/>
      </c>
      <c r="F75" s="12" t="str">
        <f>IF(($A75+4)&gt;$B$11, "", IFERROR((INDEX($F$12:$F$21,MATCH(($A75+4),$E$12:$E$21,1))+(($A75+4)-INDEX($E$12:$E$21,MATCH(($A75+4),$E$12:$E$21,1)))*(IFERROR(INDEX($F$12:$F$21,MATCH(($A75+4),$E$12:$E$21,1)+1),INDEX($F$12:$F$21,MATCH(($A75+4),$E$12:$E$21,1)))-INDEX($F$12:$F$21,MATCH(($A75+4),$E$12:$E$21,1)))/IF((IFERROR(INDEX($E$12:$E$21,MATCH(($A75+4),$E$12:$E$21,1)+1),INDEX($E$12:$E$21,MATCH(($A75+4),$E$12:$E$21,1))+1)-INDEX($E$12:$E$21,MATCH(($A75+4),$E$12:$E$21,1)))=0,1,IFERROR(INDEX($E$12:$E$21,MATCH(($A75+4),$E$12:$E$21,1)+1),INDEX($E$12:$E$21,MATCH(($A75+4),$E$12:$E$21,1))+1)-INDEX($E$12:$E$21,MATCH(($A75+4),$E$12:$E$21,1)))),$F$12) * (($B$9 * (($A75+4)/100)) + (($B$10 * (($A75+4)/100)^2) * $B$12)))</f>
        <v/>
      </c>
      <c r="G75" s="12" t="str">
        <f>IF(($A75+5)&gt;$B$11, "", IFERROR((INDEX($F$12:$F$21,MATCH(($A75+5),$E$12:$E$21,1))+(($A75+5)-INDEX($E$12:$E$21,MATCH(($A75+5),$E$12:$E$21,1)))*(IFERROR(INDEX($F$12:$F$21,MATCH(($A75+5),$E$12:$E$21,1)+1),INDEX($F$12:$F$21,MATCH(($A75+5),$E$12:$E$21,1)))-INDEX($F$12:$F$21,MATCH(($A75+5),$E$12:$E$21,1)))/IF((IFERROR(INDEX($E$12:$E$21,MATCH(($A75+5),$E$12:$E$21,1)+1),INDEX($E$12:$E$21,MATCH(($A75+5),$E$12:$E$21,1))+1)-INDEX($E$12:$E$21,MATCH(($A75+5),$E$12:$E$21,1)))=0,1,IFERROR(INDEX($E$12:$E$21,MATCH(($A75+5),$E$12:$E$21,1)+1),INDEX($E$12:$E$21,MATCH(($A75+5),$E$12:$E$21,1))+1)-INDEX($E$12:$E$21,MATCH(($A75+5),$E$12:$E$21,1)))),$F$12) * (($B$9 * (($A75+5)/100)) + (($B$10 * (($A75+5)/100)^2) * $B$12)))</f>
        <v/>
      </c>
      <c r="H75" s="12" t="str">
        <f>IF(($A75+6)&gt;$B$11, "", IFERROR((INDEX($F$12:$F$21,MATCH(($A75+6),$E$12:$E$21,1))+(($A75+6)-INDEX($E$12:$E$21,MATCH(($A75+6),$E$12:$E$21,1)))*(IFERROR(INDEX($F$12:$F$21,MATCH(($A75+6),$E$12:$E$21,1)+1),INDEX($F$12:$F$21,MATCH(($A75+6),$E$12:$E$21,1)))-INDEX($F$12:$F$21,MATCH(($A75+6),$E$12:$E$21,1)))/IF((IFERROR(INDEX($E$12:$E$21,MATCH(($A75+6),$E$12:$E$21,1)+1),INDEX($E$12:$E$21,MATCH(($A75+6),$E$12:$E$21,1))+1)-INDEX($E$12:$E$21,MATCH(($A75+6),$E$12:$E$21,1)))=0,1,IFERROR(INDEX($E$12:$E$21,MATCH(($A75+6),$E$12:$E$21,1)+1),INDEX($E$12:$E$21,MATCH(($A75+6),$E$12:$E$21,1))+1)-INDEX($E$12:$E$21,MATCH(($A75+6),$E$12:$E$21,1)))),$F$12) * (($B$9 * (($A75+6)/100)) + (($B$10 * (($A75+6)/100)^2) * $B$12)))</f>
        <v/>
      </c>
      <c r="I75" s="12" t="str">
        <f>IF(($A75+7)&gt;$B$11, "", IFERROR((INDEX($F$12:$F$21,MATCH(($A75+7),$E$12:$E$21,1))+(($A75+7)-INDEX($E$12:$E$21,MATCH(($A75+7),$E$12:$E$21,1)))*(IFERROR(INDEX($F$12:$F$21,MATCH(($A75+7),$E$12:$E$21,1)+1),INDEX($F$12:$F$21,MATCH(($A75+7),$E$12:$E$21,1)))-INDEX($F$12:$F$21,MATCH(($A75+7),$E$12:$E$21,1)))/IF((IFERROR(INDEX($E$12:$E$21,MATCH(($A75+7),$E$12:$E$21,1)+1),INDEX($E$12:$E$21,MATCH(($A75+7),$E$12:$E$21,1))+1)-INDEX($E$12:$E$21,MATCH(($A75+7),$E$12:$E$21,1)))=0,1,IFERROR(INDEX($E$12:$E$21,MATCH(($A75+7),$E$12:$E$21,1)+1),INDEX($E$12:$E$21,MATCH(($A75+7),$E$12:$E$21,1))+1)-INDEX($E$12:$E$21,MATCH(($A75+7),$E$12:$E$21,1)))),$F$12) * (($B$9 * (($A75+7)/100)) + (($B$10 * (($A75+7)/100)^2) * $B$12)))</f>
        <v/>
      </c>
      <c r="J75" s="12" t="str">
        <f>IF(($A75+8)&gt;$B$11, "", IFERROR((INDEX($F$12:$F$21,MATCH(($A75+8),$E$12:$E$21,1))+(($A75+8)-INDEX($E$12:$E$21,MATCH(($A75+8),$E$12:$E$21,1)))*(IFERROR(INDEX($F$12:$F$21,MATCH(($A75+8),$E$12:$E$21,1)+1),INDEX($F$12:$F$21,MATCH(($A75+8),$E$12:$E$21,1)))-INDEX($F$12:$F$21,MATCH(($A75+8),$E$12:$E$21,1)))/IF((IFERROR(INDEX($E$12:$E$21,MATCH(($A75+8),$E$12:$E$21,1)+1),INDEX($E$12:$E$21,MATCH(($A75+8),$E$12:$E$21,1))+1)-INDEX($E$12:$E$21,MATCH(($A75+8),$E$12:$E$21,1)))=0,1,IFERROR(INDEX($E$12:$E$21,MATCH(($A75+8),$E$12:$E$21,1)+1),INDEX($E$12:$E$21,MATCH(($A75+8),$E$12:$E$21,1))+1)-INDEX($E$12:$E$21,MATCH(($A75+8),$E$12:$E$21,1)))),$F$12) * (($B$9 * (($A75+8)/100)) + (($B$10 * (($A75+8)/100)^2) * $B$12)))</f>
        <v/>
      </c>
      <c r="K75" s="12" t="str">
        <f>IF(($A75+9)&gt;$B$11, "", IFERROR((INDEX($F$12:$F$21,MATCH(($A75+9),$E$12:$E$21,1))+(($A75+9)-INDEX($E$12:$E$21,MATCH(($A75+9),$E$12:$E$21,1)))*(IFERROR(INDEX($F$12:$F$21,MATCH(($A75+9),$E$12:$E$21,1)+1),INDEX($F$12:$F$21,MATCH(($A75+9),$E$12:$E$21,1)))-INDEX($F$12:$F$21,MATCH(($A75+9),$E$12:$E$21,1)))/IF((IFERROR(INDEX($E$12:$E$21,MATCH(($A75+9),$E$12:$E$21,1)+1),INDEX($E$12:$E$21,MATCH(($A75+9),$E$12:$E$21,1))+1)-INDEX($E$12:$E$21,MATCH(($A75+9),$E$12:$E$21,1)))=0,1,IFERROR(INDEX($E$12:$E$21,MATCH(($A75+9),$E$12:$E$21,1)+1),INDEX($E$12:$E$21,MATCH(($A75+9),$E$12:$E$21,1))+1)-INDEX($E$12:$E$21,MATCH(($A75+9),$E$12:$E$21,1)))),$F$12) * (($B$9 * (($A75+9)/100)) + (($B$10 * (($A75+9)/100)^2) * $B$12)))</f>
        <v/>
      </c>
    </row>
    <row r="76">
      <c r="A76" s="11">
        <v>400</v>
      </c>
      <c r="B76" s="12" t="str">
        <f>IF(($A76+0)&gt;$B$11, "", IFERROR((INDEX($F$12:$F$21,MATCH(($A76+0),$E$12:$E$21,1))+(($A76+0)-INDEX($E$12:$E$21,MATCH(($A76+0),$E$12:$E$21,1)))*(IFERROR(INDEX($F$12:$F$21,MATCH(($A76+0),$E$12:$E$21,1)+1),INDEX($F$12:$F$21,MATCH(($A76+0),$E$12:$E$21,1)))-INDEX($F$12:$F$21,MATCH(($A76+0),$E$12:$E$21,1)))/IF((IFERROR(INDEX($E$12:$E$21,MATCH(($A76+0),$E$12:$E$21,1)+1),INDEX($E$12:$E$21,MATCH(($A76+0),$E$12:$E$21,1))+1)-INDEX($E$12:$E$21,MATCH(($A76+0),$E$12:$E$21,1)))=0,1,IFERROR(INDEX($E$12:$E$21,MATCH(($A76+0),$E$12:$E$21,1)+1),INDEX($E$12:$E$21,MATCH(($A76+0),$E$12:$E$21,1))+1)-INDEX($E$12:$E$21,MATCH(($A76+0),$E$12:$E$21,1)))),$F$12) * (($B$9 * (($A76+0)/100)) + (($B$10 * (($A76+0)/100)^2) * $B$12)))</f>
        <v/>
      </c>
      <c r="C76" s="12" t="str">
        <f>IF(($A76+1)&gt;$B$11, "", IFERROR((INDEX($F$12:$F$21,MATCH(($A76+1),$E$12:$E$21,1))+(($A76+1)-INDEX($E$12:$E$21,MATCH(($A76+1),$E$12:$E$21,1)))*(IFERROR(INDEX($F$12:$F$21,MATCH(($A76+1),$E$12:$E$21,1)+1),INDEX($F$12:$F$21,MATCH(($A76+1),$E$12:$E$21,1)))-INDEX($F$12:$F$21,MATCH(($A76+1),$E$12:$E$21,1)))/IF((IFERROR(INDEX($E$12:$E$21,MATCH(($A76+1),$E$12:$E$21,1)+1),INDEX($E$12:$E$21,MATCH(($A76+1),$E$12:$E$21,1))+1)-INDEX($E$12:$E$21,MATCH(($A76+1),$E$12:$E$21,1)))=0,1,IFERROR(INDEX($E$12:$E$21,MATCH(($A76+1),$E$12:$E$21,1)+1),INDEX($E$12:$E$21,MATCH(($A76+1),$E$12:$E$21,1))+1)-INDEX($E$12:$E$21,MATCH(($A76+1),$E$12:$E$21,1)))),$F$12) * (($B$9 * (($A76+1)/100)) + (($B$10 * (($A76+1)/100)^2) * $B$12)))</f>
        <v/>
      </c>
      <c r="D76" s="12" t="str">
        <f>IF(($A76+2)&gt;$B$11, "", IFERROR((INDEX($F$12:$F$21,MATCH(($A76+2),$E$12:$E$21,1))+(($A76+2)-INDEX($E$12:$E$21,MATCH(($A76+2),$E$12:$E$21,1)))*(IFERROR(INDEX($F$12:$F$21,MATCH(($A76+2),$E$12:$E$21,1)+1),INDEX($F$12:$F$21,MATCH(($A76+2),$E$12:$E$21,1)))-INDEX($F$12:$F$21,MATCH(($A76+2),$E$12:$E$21,1)))/IF((IFERROR(INDEX($E$12:$E$21,MATCH(($A76+2),$E$12:$E$21,1)+1),INDEX($E$12:$E$21,MATCH(($A76+2),$E$12:$E$21,1))+1)-INDEX($E$12:$E$21,MATCH(($A76+2),$E$12:$E$21,1)))=0,1,IFERROR(INDEX($E$12:$E$21,MATCH(($A76+2),$E$12:$E$21,1)+1),INDEX($E$12:$E$21,MATCH(($A76+2),$E$12:$E$21,1))+1)-INDEX($E$12:$E$21,MATCH(($A76+2),$E$12:$E$21,1)))),$F$12) * (($B$9 * (($A76+2)/100)) + (($B$10 * (($A76+2)/100)^2) * $B$12)))</f>
        <v/>
      </c>
      <c r="E76" s="12" t="str">
        <f>IF(($A76+3)&gt;$B$11, "", IFERROR((INDEX($F$12:$F$21,MATCH(($A76+3),$E$12:$E$21,1))+(($A76+3)-INDEX($E$12:$E$21,MATCH(($A76+3),$E$12:$E$21,1)))*(IFERROR(INDEX($F$12:$F$21,MATCH(($A76+3),$E$12:$E$21,1)+1),INDEX($F$12:$F$21,MATCH(($A76+3),$E$12:$E$21,1)))-INDEX($F$12:$F$21,MATCH(($A76+3),$E$12:$E$21,1)))/IF((IFERROR(INDEX($E$12:$E$21,MATCH(($A76+3),$E$12:$E$21,1)+1),INDEX($E$12:$E$21,MATCH(($A76+3),$E$12:$E$21,1))+1)-INDEX($E$12:$E$21,MATCH(($A76+3),$E$12:$E$21,1)))=0,1,IFERROR(INDEX($E$12:$E$21,MATCH(($A76+3),$E$12:$E$21,1)+1),INDEX($E$12:$E$21,MATCH(($A76+3),$E$12:$E$21,1))+1)-INDEX($E$12:$E$21,MATCH(($A76+3),$E$12:$E$21,1)))),$F$12) * (($B$9 * (($A76+3)/100)) + (($B$10 * (($A76+3)/100)^2) * $B$12)))</f>
        <v/>
      </c>
      <c r="F76" s="12" t="str">
        <f>IF(($A76+4)&gt;$B$11, "", IFERROR((INDEX($F$12:$F$21,MATCH(($A76+4),$E$12:$E$21,1))+(($A76+4)-INDEX($E$12:$E$21,MATCH(($A76+4),$E$12:$E$21,1)))*(IFERROR(INDEX($F$12:$F$21,MATCH(($A76+4),$E$12:$E$21,1)+1),INDEX($F$12:$F$21,MATCH(($A76+4),$E$12:$E$21,1)))-INDEX($F$12:$F$21,MATCH(($A76+4),$E$12:$E$21,1)))/IF((IFERROR(INDEX($E$12:$E$21,MATCH(($A76+4),$E$12:$E$21,1)+1),INDEX($E$12:$E$21,MATCH(($A76+4),$E$12:$E$21,1))+1)-INDEX($E$12:$E$21,MATCH(($A76+4),$E$12:$E$21,1)))=0,1,IFERROR(INDEX($E$12:$E$21,MATCH(($A76+4),$E$12:$E$21,1)+1),INDEX($E$12:$E$21,MATCH(($A76+4),$E$12:$E$21,1))+1)-INDEX($E$12:$E$21,MATCH(($A76+4),$E$12:$E$21,1)))),$F$12) * (($B$9 * (($A76+4)/100)) + (($B$10 * (($A76+4)/100)^2) * $B$12)))</f>
        <v/>
      </c>
      <c r="G76" s="12" t="str">
        <f>IF(($A76+5)&gt;$B$11, "", IFERROR((INDEX($F$12:$F$21,MATCH(($A76+5),$E$12:$E$21,1))+(($A76+5)-INDEX($E$12:$E$21,MATCH(($A76+5),$E$12:$E$21,1)))*(IFERROR(INDEX($F$12:$F$21,MATCH(($A76+5),$E$12:$E$21,1)+1),INDEX($F$12:$F$21,MATCH(($A76+5),$E$12:$E$21,1)))-INDEX($F$12:$F$21,MATCH(($A76+5),$E$12:$E$21,1)))/IF((IFERROR(INDEX($E$12:$E$21,MATCH(($A76+5),$E$12:$E$21,1)+1),INDEX($E$12:$E$21,MATCH(($A76+5),$E$12:$E$21,1))+1)-INDEX($E$12:$E$21,MATCH(($A76+5),$E$12:$E$21,1)))=0,1,IFERROR(INDEX($E$12:$E$21,MATCH(($A76+5),$E$12:$E$21,1)+1),INDEX($E$12:$E$21,MATCH(($A76+5),$E$12:$E$21,1))+1)-INDEX($E$12:$E$21,MATCH(($A76+5),$E$12:$E$21,1)))),$F$12) * (($B$9 * (($A76+5)/100)) + (($B$10 * (($A76+5)/100)^2) * $B$12)))</f>
        <v/>
      </c>
      <c r="H76" s="12" t="str">
        <f>IF(($A76+6)&gt;$B$11, "", IFERROR((INDEX($F$12:$F$21,MATCH(($A76+6),$E$12:$E$21,1))+(($A76+6)-INDEX($E$12:$E$21,MATCH(($A76+6),$E$12:$E$21,1)))*(IFERROR(INDEX($F$12:$F$21,MATCH(($A76+6),$E$12:$E$21,1)+1),INDEX($F$12:$F$21,MATCH(($A76+6),$E$12:$E$21,1)))-INDEX($F$12:$F$21,MATCH(($A76+6),$E$12:$E$21,1)))/IF((IFERROR(INDEX($E$12:$E$21,MATCH(($A76+6),$E$12:$E$21,1)+1),INDEX($E$12:$E$21,MATCH(($A76+6),$E$12:$E$21,1))+1)-INDEX($E$12:$E$21,MATCH(($A76+6),$E$12:$E$21,1)))=0,1,IFERROR(INDEX($E$12:$E$21,MATCH(($A76+6),$E$12:$E$21,1)+1),INDEX($E$12:$E$21,MATCH(($A76+6),$E$12:$E$21,1))+1)-INDEX($E$12:$E$21,MATCH(($A76+6),$E$12:$E$21,1)))),$F$12) * (($B$9 * (($A76+6)/100)) + (($B$10 * (($A76+6)/100)^2) * $B$12)))</f>
        <v/>
      </c>
      <c r="I76" s="12" t="str">
        <f>IF(($A76+7)&gt;$B$11, "", IFERROR((INDEX($F$12:$F$21,MATCH(($A76+7),$E$12:$E$21,1))+(($A76+7)-INDEX($E$12:$E$21,MATCH(($A76+7),$E$12:$E$21,1)))*(IFERROR(INDEX($F$12:$F$21,MATCH(($A76+7),$E$12:$E$21,1)+1),INDEX($F$12:$F$21,MATCH(($A76+7),$E$12:$E$21,1)))-INDEX($F$12:$F$21,MATCH(($A76+7),$E$12:$E$21,1)))/IF((IFERROR(INDEX($E$12:$E$21,MATCH(($A76+7),$E$12:$E$21,1)+1),INDEX($E$12:$E$21,MATCH(($A76+7),$E$12:$E$21,1))+1)-INDEX($E$12:$E$21,MATCH(($A76+7),$E$12:$E$21,1)))=0,1,IFERROR(INDEX($E$12:$E$21,MATCH(($A76+7),$E$12:$E$21,1)+1),INDEX($E$12:$E$21,MATCH(($A76+7),$E$12:$E$21,1))+1)-INDEX($E$12:$E$21,MATCH(($A76+7),$E$12:$E$21,1)))),$F$12) * (($B$9 * (($A76+7)/100)) + (($B$10 * (($A76+7)/100)^2) * $B$12)))</f>
        <v/>
      </c>
      <c r="J76" s="12" t="str">
        <f>IF(($A76+8)&gt;$B$11, "", IFERROR((INDEX($F$12:$F$21,MATCH(($A76+8),$E$12:$E$21,1))+(($A76+8)-INDEX($E$12:$E$21,MATCH(($A76+8),$E$12:$E$21,1)))*(IFERROR(INDEX($F$12:$F$21,MATCH(($A76+8),$E$12:$E$21,1)+1),INDEX($F$12:$F$21,MATCH(($A76+8),$E$12:$E$21,1)))-INDEX($F$12:$F$21,MATCH(($A76+8),$E$12:$E$21,1)))/IF((IFERROR(INDEX($E$12:$E$21,MATCH(($A76+8),$E$12:$E$21,1)+1),INDEX($E$12:$E$21,MATCH(($A76+8),$E$12:$E$21,1))+1)-INDEX($E$12:$E$21,MATCH(($A76+8),$E$12:$E$21,1)))=0,1,IFERROR(INDEX($E$12:$E$21,MATCH(($A76+8),$E$12:$E$21,1)+1),INDEX($E$12:$E$21,MATCH(($A76+8),$E$12:$E$21,1))+1)-INDEX($E$12:$E$21,MATCH(($A76+8),$E$12:$E$21,1)))),$F$12) * (($B$9 * (($A76+8)/100)) + (($B$10 * (($A76+8)/100)^2) * $B$12)))</f>
        <v/>
      </c>
      <c r="K76" s="12" t="str">
        <f>IF(($A76+9)&gt;$B$11, "", IFERROR((INDEX($F$12:$F$21,MATCH(($A76+9),$E$12:$E$21,1))+(($A76+9)-INDEX($E$12:$E$21,MATCH(($A76+9),$E$12:$E$21,1)))*(IFERROR(INDEX($F$12:$F$21,MATCH(($A76+9),$E$12:$E$21,1)+1),INDEX($F$12:$F$21,MATCH(($A76+9),$E$12:$E$21,1)))-INDEX($F$12:$F$21,MATCH(($A76+9),$E$12:$E$21,1)))/IF((IFERROR(INDEX($E$12:$E$21,MATCH(($A76+9),$E$12:$E$21,1)+1),INDEX($E$12:$E$21,MATCH(($A76+9),$E$12:$E$21,1))+1)-INDEX($E$12:$E$21,MATCH(($A76+9),$E$12:$E$21,1)))=0,1,IFERROR(INDEX($E$12:$E$21,MATCH(($A76+9),$E$12:$E$21,1)+1),INDEX($E$12:$E$21,MATCH(($A76+9),$E$12:$E$21,1))+1)-INDEX($E$12:$E$21,MATCH(($A76+9),$E$12:$E$21,1)))),$F$12) * (($B$9 * (($A76+9)/100)) + (($B$10 * (($A76+9)/100)^2) * $B$12)))</f>
        <v/>
      </c>
    </row>
    <row r="77">
      <c r="A77" s="11">
        <v>410</v>
      </c>
      <c r="B77" s="12" t="str">
        <f>IF(($A77+0)&gt;$B$11, "", IFERROR((INDEX($F$12:$F$21,MATCH(($A77+0),$E$12:$E$21,1))+(($A77+0)-INDEX($E$12:$E$21,MATCH(($A77+0),$E$12:$E$21,1)))*(IFERROR(INDEX($F$12:$F$21,MATCH(($A77+0),$E$12:$E$21,1)+1),INDEX($F$12:$F$21,MATCH(($A77+0),$E$12:$E$21,1)))-INDEX($F$12:$F$21,MATCH(($A77+0),$E$12:$E$21,1)))/IF((IFERROR(INDEX($E$12:$E$21,MATCH(($A77+0),$E$12:$E$21,1)+1),INDEX($E$12:$E$21,MATCH(($A77+0),$E$12:$E$21,1))+1)-INDEX($E$12:$E$21,MATCH(($A77+0),$E$12:$E$21,1)))=0,1,IFERROR(INDEX($E$12:$E$21,MATCH(($A77+0),$E$12:$E$21,1)+1),INDEX($E$12:$E$21,MATCH(($A77+0),$E$12:$E$21,1))+1)-INDEX($E$12:$E$21,MATCH(($A77+0),$E$12:$E$21,1)))),$F$12) * (($B$9 * (($A77+0)/100)) + (($B$10 * (($A77+0)/100)^2) * $B$12)))</f>
        <v/>
      </c>
      <c r="C77" s="12" t="str">
        <f>IF(($A77+1)&gt;$B$11, "", IFERROR((INDEX($F$12:$F$21,MATCH(($A77+1),$E$12:$E$21,1))+(($A77+1)-INDEX($E$12:$E$21,MATCH(($A77+1),$E$12:$E$21,1)))*(IFERROR(INDEX($F$12:$F$21,MATCH(($A77+1),$E$12:$E$21,1)+1),INDEX($F$12:$F$21,MATCH(($A77+1),$E$12:$E$21,1)))-INDEX($F$12:$F$21,MATCH(($A77+1),$E$12:$E$21,1)))/IF((IFERROR(INDEX($E$12:$E$21,MATCH(($A77+1),$E$12:$E$21,1)+1),INDEX($E$12:$E$21,MATCH(($A77+1),$E$12:$E$21,1))+1)-INDEX($E$12:$E$21,MATCH(($A77+1),$E$12:$E$21,1)))=0,1,IFERROR(INDEX($E$12:$E$21,MATCH(($A77+1),$E$12:$E$21,1)+1),INDEX($E$12:$E$21,MATCH(($A77+1),$E$12:$E$21,1))+1)-INDEX($E$12:$E$21,MATCH(($A77+1),$E$12:$E$21,1)))),$F$12) * (($B$9 * (($A77+1)/100)) + (($B$10 * (($A77+1)/100)^2) * $B$12)))</f>
        <v/>
      </c>
      <c r="D77" s="12" t="str">
        <f>IF(($A77+2)&gt;$B$11, "", IFERROR((INDEX($F$12:$F$21,MATCH(($A77+2),$E$12:$E$21,1))+(($A77+2)-INDEX($E$12:$E$21,MATCH(($A77+2),$E$12:$E$21,1)))*(IFERROR(INDEX($F$12:$F$21,MATCH(($A77+2),$E$12:$E$21,1)+1),INDEX($F$12:$F$21,MATCH(($A77+2),$E$12:$E$21,1)))-INDEX($F$12:$F$21,MATCH(($A77+2),$E$12:$E$21,1)))/IF((IFERROR(INDEX($E$12:$E$21,MATCH(($A77+2),$E$12:$E$21,1)+1),INDEX($E$12:$E$21,MATCH(($A77+2),$E$12:$E$21,1))+1)-INDEX($E$12:$E$21,MATCH(($A77+2),$E$12:$E$21,1)))=0,1,IFERROR(INDEX($E$12:$E$21,MATCH(($A77+2),$E$12:$E$21,1)+1),INDEX($E$12:$E$21,MATCH(($A77+2),$E$12:$E$21,1))+1)-INDEX($E$12:$E$21,MATCH(($A77+2),$E$12:$E$21,1)))),$F$12) * (($B$9 * (($A77+2)/100)) + (($B$10 * (($A77+2)/100)^2) * $B$12)))</f>
        <v/>
      </c>
      <c r="E77" s="12" t="str">
        <f>IF(($A77+3)&gt;$B$11, "", IFERROR((INDEX($F$12:$F$21,MATCH(($A77+3),$E$12:$E$21,1))+(($A77+3)-INDEX($E$12:$E$21,MATCH(($A77+3),$E$12:$E$21,1)))*(IFERROR(INDEX($F$12:$F$21,MATCH(($A77+3),$E$12:$E$21,1)+1),INDEX($F$12:$F$21,MATCH(($A77+3),$E$12:$E$21,1)))-INDEX($F$12:$F$21,MATCH(($A77+3),$E$12:$E$21,1)))/IF((IFERROR(INDEX($E$12:$E$21,MATCH(($A77+3),$E$12:$E$21,1)+1),INDEX($E$12:$E$21,MATCH(($A77+3),$E$12:$E$21,1))+1)-INDEX($E$12:$E$21,MATCH(($A77+3),$E$12:$E$21,1)))=0,1,IFERROR(INDEX($E$12:$E$21,MATCH(($A77+3),$E$12:$E$21,1)+1),INDEX($E$12:$E$21,MATCH(($A77+3),$E$12:$E$21,1))+1)-INDEX($E$12:$E$21,MATCH(($A77+3),$E$12:$E$21,1)))),$F$12) * (($B$9 * (($A77+3)/100)) + (($B$10 * (($A77+3)/100)^2) * $B$12)))</f>
        <v/>
      </c>
      <c r="F77" s="12" t="str">
        <f>IF(($A77+4)&gt;$B$11, "", IFERROR((INDEX($F$12:$F$21,MATCH(($A77+4),$E$12:$E$21,1))+(($A77+4)-INDEX($E$12:$E$21,MATCH(($A77+4),$E$12:$E$21,1)))*(IFERROR(INDEX($F$12:$F$21,MATCH(($A77+4),$E$12:$E$21,1)+1),INDEX($F$12:$F$21,MATCH(($A77+4),$E$12:$E$21,1)))-INDEX($F$12:$F$21,MATCH(($A77+4),$E$12:$E$21,1)))/IF((IFERROR(INDEX($E$12:$E$21,MATCH(($A77+4),$E$12:$E$21,1)+1),INDEX($E$12:$E$21,MATCH(($A77+4),$E$12:$E$21,1))+1)-INDEX($E$12:$E$21,MATCH(($A77+4),$E$12:$E$21,1)))=0,1,IFERROR(INDEX($E$12:$E$21,MATCH(($A77+4),$E$12:$E$21,1)+1),INDEX($E$12:$E$21,MATCH(($A77+4),$E$12:$E$21,1))+1)-INDEX($E$12:$E$21,MATCH(($A77+4),$E$12:$E$21,1)))),$F$12) * (($B$9 * (($A77+4)/100)) + (($B$10 * (($A77+4)/100)^2) * $B$12)))</f>
        <v/>
      </c>
      <c r="G77" s="12" t="str">
        <f>IF(($A77+5)&gt;$B$11, "", IFERROR((INDEX($F$12:$F$21,MATCH(($A77+5),$E$12:$E$21,1))+(($A77+5)-INDEX($E$12:$E$21,MATCH(($A77+5),$E$12:$E$21,1)))*(IFERROR(INDEX($F$12:$F$21,MATCH(($A77+5),$E$12:$E$21,1)+1),INDEX($F$12:$F$21,MATCH(($A77+5),$E$12:$E$21,1)))-INDEX($F$12:$F$21,MATCH(($A77+5),$E$12:$E$21,1)))/IF((IFERROR(INDEX($E$12:$E$21,MATCH(($A77+5),$E$12:$E$21,1)+1),INDEX($E$12:$E$21,MATCH(($A77+5),$E$12:$E$21,1))+1)-INDEX($E$12:$E$21,MATCH(($A77+5),$E$12:$E$21,1)))=0,1,IFERROR(INDEX($E$12:$E$21,MATCH(($A77+5),$E$12:$E$21,1)+1),INDEX($E$12:$E$21,MATCH(($A77+5),$E$12:$E$21,1))+1)-INDEX($E$12:$E$21,MATCH(($A77+5),$E$12:$E$21,1)))),$F$12) * (($B$9 * (($A77+5)/100)) + (($B$10 * (($A77+5)/100)^2) * $B$12)))</f>
        <v/>
      </c>
      <c r="H77" s="12" t="str">
        <f>IF(($A77+6)&gt;$B$11, "", IFERROR((INDEX($F$12:$F$21,MATCH(($A77+6),$E$12:$E$21,1))+(($A77+6)-INDEX($E$12:$E$21,MATCH(($A77+6),$E$12:$E$21,1)))*(IFERROR(INDEX($F$12:$F$21,MATCH(($A77+6),$E$12:$E$21,1)+1),INDEX($F$12:$F$21,MATCH(($A77+6),$E$12:$E$21,1)))-INDEX($F$12:$F$21,MATCH(($A77+6),$E$12:$E$21,1)))/IF((IFERROR(INDEX($E$12:$E$21,MATCH(($A77+6),$E$12:$E$21,1)+1),INDEX($E$12:$E$21,MATCH(($A77+6),$E$12:$E$21,1))+1)-INDEX($E$12:$E$21,MATCH(($A77+6),$E$12:$E$21,1)))=0,1,IFERROR(INDEX($E$12:$E$21,MATCH(($A77+6),$E$12:$E$21,1)+1),INDEX($E$12:$E$21,MATCH(($A77+6),$E$12:$E$21,1))+1)-INDEX($E$12:$E$21,MATCH(($A77+6),$E$12:$E$21,1)))),$F$12) * (($B$9 * (($A77+6)/100)) + (($B$10 * (($A77+6)/100)^2) * $B$12)))</f>
        <v/>
      </c>
      <c r="I77" s="12" t="str">
        <f>IF(($A77+7)&gt;$B$11, "", IFERROR((INDEX($F$12:$F$21,MATCH(($A77+7),$E$12:$E$21,1))+(($A77+7)-INDEX($E$12:$E$21,MATCH(($A77+7),$E$12:$E$21,1)))*(IFERROR(INDEX($F$12:$F$21,MATCH(($A77+7),$E$12:$E$21,1)+1),INDEX($F$12:$F$21,MATCH(($A77+7),$E$12:$E$21,1)))-INDEX($F$12:$F$21,MATCH(($A77+7),$E$12:$E$21,1)))/IF((IFERROR(INDEX($E$12:$E$21,MATCH(($A77+7),$E$12:$E$21,1)+1),INDEX($E$12:$E$21,MATCH(($A77+7),$E$12:$E$21,1))+1)-INDEX($E$12:$E$21,MATCH(($A77+7),$E$12:$E$21,1)))=0,1,IFERROR(INDEX($E$12:$E$21,MATCH(($A77+7),$E$12:$E$21,1)+1),INDEX($E$12:$E$21,MATCH(($A77+7),$E$12:$E$21,1))+1)-INDEX($E$12:$E$21,MATCH(($A77+7),$E$12:$E$21,1)))),$F$12) * (($B$9 * (($A77+7)/100)) + (($B$10 * (($A77+7)/100)^2) * $B$12)))</f>
        <v/>
      </c>
      <c r="J77" s="12" t="str">
        <f>IF(($A77+8)&gt;$B$11, "", IFERROR((INDEX($F$12:$F$21,MATCH(($A77+8),$E$12:$E$21,1))+(($A77+8)-INDEX($E$12:$E$21,MATCH(($A77+8),$E$12:$E$21,1)))*(IFERROR(INDEX($F$12:$F$21,MATCH(($A77+8),$E$12:$E$21,1)+1),INDEX($F$12:$F$21,MATCH(($A77+8),$E$12:$E$21,1)))-INDEX($F$12:$F$21,MATCH(($A77+8),$E$12:$E$21,1)))/IF((IFERROR(INDEX($E$12:$E$21,MATCH(($A77+8),$E$12:$E$21,1)+1),INDEX($E$12:$E$21,MATCH(($A77+8),$E$12:$E$21,1))+1)-INDEX($E$12:$E$21,MATCH(($A77+8),$E$12:$E$21,1)))=0,1,IFERROR(INDEX($E$12:$E$21,MATCH(($A77+8),$E$12:$E$21,1)+1),INDEX($E$12:$E$21,MATCH(($A77+8),$E$12:$E$21,1))+1)-INDEX($E$12:$E$21,MATCH(($A77+8),$E$12:$E$21,1)))),$F$12) * (($B$9 * (($A77+8)/100)) + (($B$10 * (($A77+8)/100)^2) * $B$12)))</f>
        <v/>
      </c>
      <c r="K77" s="12" t="str">
        <f>IF(($A77+9)&gt;$B$11, "", IFERROR((INDEX($F$12:$F$21,MATCH(($A77+9),$E$12:$E$21,1))+(($A77+9)-INDEX($E$12:$E$21,MATCH(($A77+9),$E$12:$E$21,1)))*(IFERROR(INDEX($F$12:$F$21,MATCH(($A77+9),$E$12:$E$21,1)+1),INDEX($F$12:$F$21,MATCH(($A77+9),$E$12:$E$21,1)))-INDEX($F$12:$F$21,MATCH(($A77+9),$E$12:$E$21,1)))/IF((IFERROR(INDEX($E$12:$E$21,MATCH(($A77+9),$E$12:$E$21,1)+1),INDEX($E$12:$E$21,MATCH(($A77+9),$E$12:$E$21,1))+1)-INDEX($E$12:$E$21,MATCH(($A77+9),$E$12:$E$21,1)))=0,1,IFERROR(INDEX($E$12:$E$21,MATCH(($A77+9),$E$12:$E$21,1)+1),INDEX($E$12:$E$21,MATCH(($A77+9),$E$12:$E$21,1))+1)-INDEX($E$12:$E$21,MATCH(($A77+9),$E$12:$E$21,1)))),$F$12) * (($B$9 * (($A77+9)/100)) + (($B$10 * (($A77+9)/100)^2) * $B$12)))</f>
        <v/>
      </c>
    </row>
    <row r="78">
      <c r="A78" s="11">
        <v>420</v>
      </c>
      <c r="B78" s="12" t="str">
        <f>IF(($A78+0)&gt;$B$11, "", IFERROR((INDEX($F$12:$F$21,MATCH(($A78+0),$E$12:$E$21,1))+(($A78+0)-INDEX($E$12:$E$21,MATCH(($A78+0),$E$12:$E$21,1)))*(IFERROR(INDEX($F$12:$F$21,MATCH(($A78+0),$E$12:$E$21,1)+1),INDEX($F$12:$F$21,MATCH(($A78+0),$E$12:$E$21,1)))-INDEX($F$12:$F$21,MATCH(($A78+0),$E$12:$E$21,1)))/IF((IFERROR(INDEX($E$12:$E$21,MATCH(($A78+0),$E$12:$E$21,1)+1),INDEX($E$12:$E$21,MATCH(($A78+0),$E$12:$E$21,1))+1)-INDEX($E$12:$E$21,MATCH(($A78+0),$E$12:$E$21,1)))=0,1,IFERROR(INDEX($E$12:$E$21,MATCH(($A78+0),$E$12:$E$21,1)+1),INDEX($E$12:$E$21,MATCH(($A78+0),$E$12:$E$21,1))+1)-INDEX($E$12:$E$21,MATCH(($A78+0),$E$12:$E$21,1)))),$F$12) * (($B$9 * (($A78+0)/100)) + (($B$10 * (($A78+0)/100)^2) * $B$12)))</f>
        <v/>
      </c>
      <c r="C78" s="12" t="str">
        <f>IF(($A78+1)&gt;$B$11, "", IFERROR((INDEX($F$12:$F$21,MATCH(($A78+1),$E$12:$E$21,1))+(($A78+1)-INDEX($E$12:$E$21,MATCH(($A78+1),$E$12:$E$21,1)))*(IFERROR(INDEX($F$12:$F$21,MATCH(($A78+1),$E$12:$E$21,1)+1),INDEX($F$12:$F$21,MATCH(($A78+1),$E$12:$E$21,1)))-INDEX($F$12:$F$21,MATCH(($A78+1),$E$12:$E$21,1)))/IF((IFERROR(INDEX($E$12:$E$21,MATCH(($A78+1),$E$12:$E$21,1)+1),INDEX($E$12:$E$21,MATCH(($A78+1),$E$12:$E$21,1))+1)-INDEX($E$12:$E$21,MATCH(($A78+1),$E$12:$E$21,1)))=0,1,IFERROR(INDEX($E$12:$E$21,MATCH(($A78+1),$E$12:$E$21,1)+1),INDEX($E$12:$E$21,MATCH(($A78+1),$E$12:$E$21,1))+1)-INDEX($E$12:$E$21,MATCH(($A78+1),$E$12:$E$21,1)))),$F$12) * (($B$9 * (($A78+1)/100)) + (($B$10 * (($A78+1)/100)^2) * $B$12)))</f>
        <v/>
      </c>
      <c r="D78" s="12" t="str">
        <f>IF(($A78+2)&gt;$B$11, "", IFERROR((INDEX($F$12:$F$21,MATCH(($A78+2),$E$12:$E$21,1))+(($A78+2)-INDEX($E$12:$E$21,MATCH(($A78+2),$E$12:$E$21,1)))*(IFERROR(INDEX($F$12:$F$21,MATCH(($A78+2),$E$12:$E$21,1)+1),INDEX($F$12:$F$21,MATCH(($A78+2),$E$12:$E$21,1)))-INDEX($F$12:$F$21,MATCH(($A78+2),$E$12:$E$21,1)))/IF((IFERROR(INDEX($E$12:$E$21,MATCH(($A78+2),$E$12:$E$21,1)+1),INDEX($E$12:$E$21,MATCH(($A78+2),$E$12:$E$21,1))+1)-INDEX($E$12:$E$21,MATCH(($A78+2),$E$12:$E$21,1)))=0,1,IFERROR(INDEX($E$12:$E$21,MATCH(($A78+2),$E$12:$E$21,1)+1),INDEX($E$12:$E$21,MATCH(($A78+2),$E$12:$E$21,1))+1)-INDEX($E$12:$E$21,MATCH(($A78+2),$E$12:$E$21,1)))),$F$12) * (($B$9 * (($A78+2)/100)) + (($B$10 * (($A78+2)/100)^2) * $B$12)))</f>
        <v/>
      </c>
      <c r="E78" s="12" t="str">
        <f>IF(($A78+3)&gt;$B$11, "", IFERROR((INDEX($F$12:$F$21,MATCH(($A78+3),$E$12:$E$21,1))+(($A78+3)-INDEX($E$12:$E$21,MATCH(($A78+3),$E$12:$E$21,1)))*(IFERROR(INDEX($F$12:$F$21,MATCH(($A78+3),$E$12:$E$21,1)+1),INDEX($F$12:$F$21,MATCH(($A78+3),$E$12:$E$21,1)))-INDEX($F$12:$F$21,MATCH(($A78+3),$E$12:$E$21,1)))/IF((IFERROR(INDEX($E$12:$E$21,MATCH(($A78+3),$E$12:$E$21,1)+1),INDEX($E$12:$E$21,MATCH(($A78+3),$E$12:$E$21,1))+1)-INDEX($E$12:$E$21,MATCH(($A78+3),$E$12:$E$21,1)))=0,1,IFERROR(INDEX($E$12:$E$21,MATCH(($A78+3),$E$12:$E$21,1)+1),INDEX($E$12:$E$21,MATCH(($A78+3),$E$12:$E$21,1))+1)-INDEX($E$12:$E$21,MATCH(($A78+3),$E$12:$E$21,1)))),$F$12) * (($B$9 * (($A78+3)/100)) + (($B$10 * (($A78+3)/100)^2) * $B$12)))</f>
        <v/>
      </c>
      <c r="F78" s="12" t="str">
        <f>IF(($A78+4)&gt;$B$11, "", IFERROR((INDEX($F$12:$F$21,MATCH(($A78+4),$E$12:$E$21,1))+(($A78+4)-INDEX($E$12:$E$21,MATCH(($A78+4),$E$12:$E$21,1)))*(IFERROR(INDEX($F$12:$F$21,MATCH(($A78+4),$E$12:$E$21,1)+1),INDEX($F$12:$F$21,MATCH(($A78+4),$E$12:$E$21,1)))-INDEX($F$12:$F$21,MATCH(($A78+4),$E$12:$E$21,1)))/IF((IFERROR(INDEX($E$12:$E$21,MATCH(($A78+4),$E$12:$E$21,1)+1),INDEX($E$12:$E$21,MATCH(($A78+4),$E$12:$E$21,1))+1)-INDEX($E$12:$E$21,MATCH(($A78+4),$E$12:$E$21,1)))=0,1,IFERROR(INDEX($E$12:$E$21,MATCH(($A78+4),$E$12:$E$21,1)+1),INDEX($E$12:$E$21,MATCH(($A78+4),$E$12:$E$21,1))+1)-INDEX($E$12:$E$21,MATCH(($A78+4),$E$12:$E$21,1)))),$F$12) * (($B$9 * (($A78+4)/100)) + (($B$10 * (($A78+4)/100)^2) * $B$12)))</f>
        <v/>
      </c>
      <c r="G78" s="12" t="str">
        <f>IF(($A78+5)&gt;$B$11, "", IFERROR((INDEX($F$12:$F$21,MATCH(($A78+5),$E$12:$E$21,1))+(($A78+5)-INDEX($E$12:$E$21,MATCH(($A78+5),$E$12:$E$21,1)))*(IFERROR(INDEX($F$12:$F$21,MATCH(($A78+5),$E$12:$E$21,1)+1),INDEX($F$12:$F$21,MATCH(($A78+5),$E$12:$E$21,1)))-INDEX($F$12:$F$21,MATCH(($A78+5),$E$12:$E$21,1)))/IF((IFERROR(INDEX($E$12:$E$21,MATCH(($A78+5),$E$12:$E$21,1)+1),INDEX($E$12:$E$21,MATCH(($A78+5),$E$12:$E$21,1))+1)-INDEX($E$12:$E$21,MATCH(($A78+5),$E$12:$E$21,1)))=0,1,IFERROR(INDEX($E$12:$E$21,MATCH(($A78+5),$E$12:$E$21,1)+1),INDEX($E$12:$E$21,MATCH(($A78+5),$E$12:$E$21,1))+1)-INDEX($E$12:$E$21,MATCH(($A78+5),$E$12:$E$21,1)))),$F$12) * (($B$9 * (($A78+5)/100)) + (($B$10 * (($A78+5)/100)^2) * $B$12)))</f>
        <v/>
      </c>
      <c r="H78" s="12" t="str">
        <f>IF(($A78+6)&gt;$B$11, "", IFERROR((INDEX($F$12:$F$21,MATCH(($A78+6),$E$12:$E$21,1))+(($A78+6)-INDEX($E$12:$E$21,MATCH(($A78+6),$E$12:$E$21,1)))*(IFERROR(INDEX($F$12:$F$21,MATCH(($A78+6),$E$12:$E$21,1)+1),INDEX($F$12:$F$21,MATCH(($A78+6),$E$12:$E$21,1)))-INDEX($F$12:$F$21,MATCH(($A78+6),$E$12:$E$21,1)))/IF((IFERROR(INDEX($E$12:$E$21,MATCH(($A78+6),$E$12:$E$21,1)+1),INDEX($E$12:$E$21,MATCH(($A78+6),$E$12:$E$21,1))+1)-INDEX($E$12:$E$21,MATCH(($A78+6),$E$12:$E$21,1)))=0,1,IFERROR(INDEX($E$12:$E$21,MATCH(($A78+6),$E$12:$E$21,1)+1),INDEX($E$12:$E$21,MATCH(($A78+6),$E$12:$E$21,1))+1)-INDEX($E$12:$E$21,MATCH(($A78+6),$E$12:$E$21,1)))),$F$12) * (($B$9 * (($A78+6)/100)) + (($B$10 * (($A78+6)/100)^2) * $B$12)))</f>
        <v/>
      </c>
      <c r="I78" s="12" t="str">
        <f>IF(($A78+7)&gt;$B$11, "", IFERROR((INDEX($F$12:$F$21,MATCH(($A78+7),$E$12:$E$21,1))+(($A78+7)-INDEX($E$12:$E$21,MATCH(($A78+7),$E$12:$E$21,1)))*(IFERROR(INDEX($F$12:$F$21,MATCH(($A78+7),$E$12:$E$21,1)+1),INDEX($F$12:$F$21,MATCH(($A78+7),$E$12:$E$21,1)))-INDEX($F$12:$F$21,MATCH(($A78+7),$E$12:$E$21,1)))/IF((IFERROR(INDEX($E$12:$E$21,MATCH(($A78+7),$E$12:$E$21,1)+1),INDEX($E$12:$E$21,MATCH(($A78+7),$E$12:$E$21,1))+1)-INDEX($E$12:$E$21,MATCH(($A78+7),$E$12:$E$21,1)))=0,1,IFERROR(INDEX($E$12:$E$21,MATCH(($A78+7),$E$12:$E$21,1)+1),INDEX($E$12:$E$21,MATCH(($A78+7),$E$12:$E$21,1))+1)-INDEX($E$12:$E$21,MATCH(($A78+7),$E$12:$E$21,1)))),$F$12) * (($B$9 * (($A78+7)/100)) + (($B$10 * (($A78+7)/100)^2) * $B$12)))</f>
        <v/>
      </c>
      <c r="J78" s="12" t="str">
        <f>IF(($A78+8)&gt;$B$11, "", IFERROR((INDEX($F$12:$F$21,MATCH(($A78+8),$E$12:$E$21,1))+(($A78+8)-INDEX($E$12:$E$21,MATCH(($A78+8),$E$12:$E$21,1)))*(IFERROR(INDEX($F$12:$F$21,MATCH(($A78+8),$E$12:$E$21,1)+1),INDEX($F$12:$F$21,MATCH(($A78+8),$E$12:$E$21,1)))-INDEX($F$12:$F$21,MATCH(($A78+8),$E$12:$E$21,1)))/IF((IFERROR(INDEX($E$12:$E$21,MATCH(($A78+8),$E$12:$E$21,1)+1),INDEX($E$12:$E$21,MATCH(($A78+8),$E$12:$E$21,1))+1)-INDEX($E$12:$E$21,MATCH(($A78+8),$E$12:$E$21,1)))=0,1,IFERROR(INDEX($E$12:$E$21,MATCH(($A78+8),$E$12:$E$21,1)+1),INDEX($E$12:$E$21,MATCH(($A78+8),$E$12:$E$21,1))+1)-INDEX($E$12:$E$21,MATCH(($A78+8),$E$12:$E$21,1)))),$F$12) * (($B$9 * (($A78+8)/100)) + (($B$10 * (($A78+8)/100)^2) * $B$12)))</f>
        <v/>
      </c>
      <c r="K78" s="12" t="str">
        <f>IF(($A78+9)&gt;$B$11, "", IFERROR((INDEX($F$12:$F$21,MATCH(($A78+9),$E$12:$E$21,1))+(($A78+9)-INDEX($E$12:$E$21,MATCH(($A78+9),$E$12:$E$21,1)))*(IFERROR(INDEX($F$12:$F$21,MATCH(($A78+9),$E$12:$E$21,1)+1),INDEX($F$12:$F$21,MATCH(($A78+9),$E$12:$E$21,1)))-INDEX($F$12:$F$21,MATCH(($A78+9),$E$12:$E$21,1)))/IF((IFERROR(INDEX($E$12:$E$21,MATCH(($A78+9),$E$12:$E$21,1)+1),INDEX($E$12:$E$21,MATCH(($A78+9),$E$12:$E$21,1))+1)-INDEX($E$12:$E$21,MATCH(($A78+9),$E$12:$E$21,1)))=0,1,IFERROR(INDEX($E$12:$E$21,MATCH(($A78+9),$E$12:$E$21,1)+1),INDEX($E$12:$E$21,MATCH(($A78+9),$E$12:$E$21,1))+1)-INDEX($E$12:$E$21,MATCH(($A78+9),$E$12:$E$21,1)))),$F$12) * (($B$9 * (($A78+9)/100)) + (($B$10 * (($A78+9)/100)^2) * $B$12)))</f>
        <v/>
      </c>
    </row>
    <row r="79">
      <c r="A79" s="11">
        <v>430</v>
      </c>
      <c r="B79" s="12" t="str">
        <f>IF(($A79+0)&gt;$B$11, "", IFERROR((INDEX($F$12:$F$21,MATCH(($A79+0),$E$12:$E$21,1))+(($A79+0)-INDEX($E$12:$E$21,MATCH(($A79+0),$E$12:$E$21,1)))*(IFERROR(INDEX($F$12:$F$21,MATCH(($A79+0),$E$12:$E$21,1)+1),INDEX($F$12:$F$21,MATCH(($A79+0),$E$12:$E$21,1)))-INDEX($F$12:$F$21,MATCH(($A79+0),$E$12:$E$21,1)))/IF((IFERROR(INDEX($E$12:$E$21,MATCH(($A79+0),$E$12:$E$21,1)+1),INDEX($E$12:$E$21,MATCH(($A79+0),$E$12:$E$21,1))+1)-INDEX($E$12:$E$21,MATCH(($A79+0),$E$12:$E$21,1)))=0,1,IFERROR(INDEX($E$12:$E$21,MATCH(($A79+0),$E$12:$E$21,1)+1),INDEX($E$12:$E$21,MATCH(($A79+0),$E$12:$E$21,1))+1)-INDEX($E$12:$E$21,MATCH(($A79+0),$E$12:$E$21,1)))),$F$12) * (($B$9 * (($A79+0)/100)) + (($B$10 * (($A79+0)/100)^2) * $B$12)))</f>
        <v/>
      </c>
      <c r="C79" s="12" t="str">
        <f>IF(($A79+1)&gt;$B$11, "", IFERROR((INDEX($F$12:$F$21,MATCH(($A79+1),$E$12:$E$21,1))+(($A79+1)-INDEX($E$12:$E$21,MATCH(($A79+1),$E$12:$E$21,1)))*(IFERROR(INDEX($F$12:$F$21,MATCH(($A79+1),$E$12:$E$21,1)+1),INDEX($F$12:$F$21,MATCH(($A79+1),$E$12:$E$21,1)))-INDEX($F$12:$F$21,MATCH(($A79+1),$E$12:$E$21,1)))/IF((IFERROR(INDEX($E$12:$E$21,MATCH(($A79+1),$E$12:$E$21,1)+1),INDEX($E$12:$E$21,MATCH(($A79+1),$E$12:$E$21,1))+1)-INDEX($E$12:$E$21,MATCH(($A79+1),$E$12:$E$21,1)))=0,1,IFERROR(INDEX($E$12:$E$21,MATCH(($A79+1),$E$12:$E$21,1)+1),INDEX($E$12:$E$21,MATCH(($A79+1),$E$12:$E$21,1))+1)-INDEX($E$12:$E$21,MATCH(($A79+1),$E$12:$E$21,1)))),$F$12) * (($B$9 * (($A79+1)/100)) + (($B$10 * (($A79+1)/100)^2) * $B$12)))</f>
        <v/>
      </c>
      <c r="D79" s="12" t="str">
        <f>IF(($A79+2)&gt;$B$11, "", IFERROR((INDEX($F$12:$F$21,MATCH(($A79+2),$E$12:$E$21,1))+(($A79+2)-INDEX($E$12:$E$21,MATCH(($A79+2),$E$12:$E$21,1)))*(IFERROR(INDEX($F$12:$F$21,MATCH(($A79+2),$E$12:$E$21,1)+1),INDEX($F$12:$F$21,MATCH(($A79+2),$E$12:$E$21,1)))-INDEX($F$12:$F$21,MATCH(($A79+2),$E$12:$E$21,1)))/IF((IFERROR(INDEX($E$12:$E$21,MATCH(($A79+2),$E$12:$E$21,1)+1),INDEX($E$12:$E$21,MATCH(($A79+2),$E$12:$E$21,1))+1)-INDEX($E$12:$E$21,MATCH(($A79+2),$E$12:$E$21,1)))=0,1,IFERROR(INDEX($E$12:$E$21,MATCH(($A79+2),$E$12:$E$21,1)+1),INDEX($E$12:$E$21,MATCH(($A79+2),$E$12:$E$21,1))+1)-INDEX($E$12:$E$21,MATCH(($A79+2),$E$12:$E$21,1)))),$F$12) * (($B$9 * (($A79+2)/100)) + (($B$10 * (($A79+2)/100)^2) * $B$12)))</f>
        <v/>
      </c>
      <c r="E79" s="12" t="str">
        <f>IF(($A79+3)&gt;$B$11, "", IFERROR((INDEX($F$12:$F$21,MATCH(($A79+3),$E$12:$E$21,1))+(($A79+3)-INDEX($E$12:$E$21,MATCH(($A79+3),$E$12:$E$21,1)))*(IFERROR(INDEX($F$12:$F$21,MATCH(($A79+3),$E$12:$E$21,1)+1),INDEX($F$12:$F$21,MATCH(($A79+3),$E$12:$E$21,1)))-INDEX($F$12:$F$21,MATCH(($A79+3),$E$12:$E$21,1)))/IF((IFERROR(INDEX($E$12:$E$21,MATCH(($A79+3),$E$12:$E$21,1)+1),INDEX($E$12:$E$21,MATCH(($A79+3),$E$12:$E$21,1))+1)-INDEX($E$12:$E$21,MATCH(($A79+3),$E$12:$E$21,1)))=0,1,IFERROR(INDEX($E$12:$E$21,MATCH(($A79+3),$E$12:$E$21,1)+1),INDEX($E$12:$E$21,MATCH(($A79+3),$E$12:$E$21,1))+1)-INDEX($E$12:$E$21,MATCH(($A79+3),$E$12:$E$21,1)))),$F$12) * (($B$9 * (($A79+3)/100)) + (($B$10 * (($A79+3)/100)^2) * $B$12)))</f>
        <v/>
      </c>
      <c r="F79" s="12" t="str">
        <f>IF(($A79+4)&gt;$B$11, "", IFERROR((INDEX($F$12:$F$21,MATCH(($A79+4),$E$12:$E$21,1))+(($A79+4)-INDEX($E$12:$E$21,MATCH(($A79+4),$E$12:$E$21,1)))*(IFERROR(INDEX($F$12:$F$21,MATCH(($A79+4),$E$12:$E$21,1)+1),INDEX($F$12:$F$21,MATCH(($A79+4),$E$12:$E$21,1)))-INDEX($F$12:$F$21,MATCH(($A79+4),$E$12:$E$21,1)))/IF((IFERROR(INDEX($E$12:$E$21,MATCH(($A79+4),$E$12:$E$21,1)+1),INDEX($E$12:$E$21,MATCH(($A79+4),$E$12:$E$21,1))+1)-INDEX($E$12:$E$21,MATCH(($A79+4),$E$12:$E$21,1)))=0,1,IFERROR(INDEX($E$12:$E$21,MATCH(($A79+4),$E$12:$E$21,1)+1),INDEX($E$12:$E$21,MATCH(($A79+4),$E$12:$E$21,1))+1)-INDEX($E$12:$E$21,MATCH(($A79+4),$E$12:$E$21,1)))),$F$12) * (($B$9 * (($A79+4)/100)) + (($B$10 * (($A79+4)/100)^2) * $B$12)))</f>
        <v/>
      </c>
      <c r="G79" s="12" t="str">
        <f>IF(($A79+5)&gt;$B$11, "", IFERROR((INDEX($F$12:$F$21,MATCH(($A79+5),$E$12:$E$21,1))+(($A79+5)-INDEX($E$12:$E$21,MATCH(($A79+5),$E$12:$E$21,1)))*(IFERROR(INDEX($F$12:$F$21,MATCH(($A79+5),$E$12:$E$21,1)+1),INDEX($F$12:$F$21,MATCH(($A79+5),$E$12:$E$21,1)))-INDEX($F$12:$F$21,MATCH(($A79+5),$E$12:$E$21,1)))/IF((IFERROR(INDEX($E$12:$E$21,MATCH(($A79+5),$E$12:$E$21,1)+1),INDEX($E$12:$E$21,MATCH(($A79+5),$E$12:$E$21,1))+1)-INDEX($E$12:$E$21,MATCH(($A79+5),$E$12:$E$21,1)))=0,1,IFERROR(INDEX($E$12:$E$21,MATCH(($A79+5),$E$12:$E$21,1)+1),INDEX($E$12:$E$21,MATCH(($A79+5),$E$12:$E$21,1))+1)-INDEX($E$12:$E$21,MATCH(($A79+5),$E$12:$E$21,1)))),$F$12) * (($B$9 * (($A79+5)/100)) + (($B$10 * (($A79+5)/100)^2) * $B$12)))</f>
        <v/>
      </c>
      <c r="H79" s="12" t="str">
        <f>IF(($A79+6)&gt;$B$11, "", IFERROR((INDEX($F$12:$F$21,MATCH(($A79+6),$E$12:$E$21,1))+(($A79+6)-INDEX($E$12:$E$21,MATCH(($A79+6),$E$12:$E$21,1)))*(IFERROR(INDEX($F$12:$F$21,MATCH(($A79+6),$E$12:$E$21,1)+1),INDEX($F$12:$F$21,MATCH(($A79+6),$E$12:$E$21,1)))-INDEX($F$12:$F$21,MATCH(($A79+6),$E$12:$E$21,1)))/IF((IFERROR(INDEX($E$12:$E$21,MATCH(($A79+6),$E$12:$E$21,1)+1),INDEX($E$12:$E$21,MATCH(($A79+6),$E$12:$E$21,1))+1)-INDEX($E$12:$E$21,MATCH(($A79+6),$E$12:$E$21,1)))=0,1,IFERROR(INDEX($E$12:$E$21,MATCH(($A79+6),$E$12:$E$21,1)+1),INDEX($E$12:$E$21,MATCH(($A79+6),$E$12:$E$21,1))+1)-INDEX($E$12:$E$21,MATCH(($A79+6),$E$12:$E$21,1)))),$F$12) * (($B$9 * (($A79+6)/100)) + (($B$10 * (($A79+6)/100)^2) * $B$12)))</f>
        <v/>
      </c>
      <c r="I79" s="12" t="str">
        <f>IF(($A79+7)&gt;$B$11, "", IFERROR((INDEX($F$12:$F$21,MATCH(($A79+7),$E$12:$E$21,1))+(($A79+7)-INDEX($E$12:$E$21,MATCH(($A79+7),$E$12:$E$21,1)))*(IFERROR(INDEX($F$12:$F$21,MATCH(($A79+7),$E$12:$E$21,1)+1),INDEX($F$12:$F$21,MATCH(($A79+7),$E$12:$E$21,1)))-INDEX($F$12:$F$21,MATCH(($A79+7),$E$12:$E$21,1)))/IF((IFERROR(INDEX($E$12:$E$21,MATCH(($A79+7),$E$12:$E$21,1)+1),INDEX($E$12:$E$21,MATCH(($A79+7),$E$12:$E$21,1))+1)-INDEX($E$12:$E$21,MATCH(($A79+7),$E$12:$E$21,1)))=0,1,IFERROR(INDEX($E$12:$E$21,MATCH(($A79+7),$E$12:$E$21,1)+1),INDEX($E$12:$E$21,MATCH(($A79+7),$E$12:$E$21,1))+1)-INDEX($E$12:$E$21,MATCH(($A79+7),$E$12:$E$21,1)))),$F$12) * (($B$9 * (($A79+7)/100)) + (($B$10 * (($A79+7)/100)^2) * $B$12)))</f>
        <v/>
      </c>
      <c r="J79" s="12" t="str">
        <f>IF(($A79+8)&gt;$B$11, "", IFERROR((INDEX($F$12:$F$21,MATCH(($A79+8),$E$12:$E$21,1))+(($A79+8)-INDEX($E$12:$E$21,MATCH(($A79+8),$E$12:$E$21,1)))*(IFERROR(INDEX($F$12:$F$21,MATCH(($A79+8),$E$12:$E$21,1)+1),INDEX($F$12:$F$21,MATCH(($A79+8),$E$12:$E$21,1)))-INDEX($F$12:$F$21,MATCH(($A79+8),$E$12:$E$21,1)))/IF((IFERROR(INDEX($E$12:$E$21,MATCH(($A79+8),$E$12:$E$21,1)+1),INDEX($E$12:$E$21,MATCH(($A79+8),$E$12:$E$21,1))+1)-INDEX($E$12:$E$21,MATCH(($A79+8),$E$12:$E$21,1)))=0,1,IFERROR(INDEX($E$12:$E$21,MATCH(($A79+8),$E$12:$E$21,1)+1),INDEX($E$12:$E$21,MATCH(($A79+8),$E$12:$E$21,1))+1)-INDEX($E$12:$E$21,MATCH(($A79+8),$E$12:$E$21,1)))),$F$12) * (($B$9 * (($A79+8)/100)) + (($B$10 * (($A79+8)/100)^2) * $B$12)))</f>
        <v/>
      </c>
      <c r="K79" s="12" t="str">
        <f>IF(($A79+9)&gt;$B$11, "", IFERROR((INDEX($F$12:$F$21,MATCH(($A79+9),$E$12:$E$21,1))+(($A79+9)-INDEX($E$12:$E$21,MATCH(($A79+9),$E$12:$E$21,1)))*(IFERROR(INDEX($F$12:$F$21,MATCH(($A79+9),$E$12:$E$21,1)+1),INDEX($F$12:$F$21,MATCH(($A79+9),$E$12:$E$21,1)))-INDEX($F$12:$F$21,MATCH(($A79+9),$E$12:$E$21,1)))/IF((IFERROR(INDEX($E$12:$E$21,MATCH(($A79+9),$E$12:$E$21,1)+1),INDEX($E$12:$E$21,MATCH(($A79+9),$E$12:$E$21,1))+1)-INDEX($E$12:$E$21,MATCH(($A79+9),$E$12:$E$21,1)))=0,1,IFERROR(INDEX($E$12:$E$21,MATCH(($A79+9),$E$12:$E$21,1)+1),INDEX($E$12:$E$21,MATCH(($A79+9),$E$12:$E$21,1))+1)-INDEX($E$12:$E$21,MATCH(($A79+9),$E$12:$E$21,1)))),$F$12) * (($B$9 * (($A79+9)/100)) + (($B$10 * (($A79+9)/100)^2) * $B$12)))</f>
        <v/>
      </c>
    </row>
    <row r="80">
      <c r="A80" s="11">
        <v>440</v>
      </c>
      <c r="B80" s="12" t="str">
        <f>IF(($A80+0)&gt;$B$11, "", IFERROR((INDEX($F$12:$F$21,MATCH(($A80+0),$E$12:$E$21,1))+(($A80+0)-INDEX($E$12:$E$21,MATCH(($A80+0),$E$12:$E$21,1)))*(IFERROR(INDEX($F$12:$F$21,MATCH(($A80+0),$E$12:$E$21,1)+1),INDEX($F$12:$F$21,MATCH(($A80+0),$E$12:$E$21,1)))-INDEX($F$12:$F$21,MATCH(($A80+0),$E$12:$E$21,1)))/IF((IFERROR(INDEX($E$12:$E$21,MATCH(($A80+0),$E$12:$E$21,1)+1),INDEX($E$12:$E$21,MATCH(($A80+0),$E$12:$E$21,1))+1)-INDEX($E$12:$E$21,MATCH(($A80+0),$E$12:$E$21,1)))=0,1,IFERROR(INDEX($E$12:$E$21,MATCH(($A80+0),$E$12:$E$21,1)+1),INDEX($E$12:$E$21,MATCH(($A80+0),$E$12:$E$21,1))+1)-INDEX($E$12:$E$21,MATCH(($A80+0),$E$12:$E$21,1)))),$F$12) * (($B$9 * (($A80+0)/100)) + (($B$10 * (($A80+0)/100)^2) * $B$12)))</f>
        <v/>
      </c>
      <c r="C80" s="12" t="str">
        <f>IF(($A80+1)&gt;$B$11, "", IFERROR((INDEX($F$12:$F$21,MATCH(($A80+1),$E$12:$E$21,1))+(($A80+1)-INDEX($E$12:$E$21,MATCH(($A80+1),$E$12:$E$21,1)))*(IFERROR(INDEX($F$12:$F$21,MATCH(($A80+1),$E$12:$E$21,1)+1),INDEX($F$12:$F$21,MATCH(($A80+1),$E$12:$E$21,1)))-INDEX($F$12:$F$21,MATCH(($A80+1),$E$12:$E$21,1)))/IF((IFERROR(INDEX($E$12:$E$21,MATCH(($A80+1),$E$12:$E$21,1)+1),INDEX($E$12:$E$21,MATCH(($A80+1),$E$12:$E$21,1))+1)-INDEX($E$12:$E$21,MATCH(($A80+1),$E$12:$E$21,1)))=0,1,IFERROR(INDEX($E$12:$E$21,MATCH(($A80+1),$E$12:$E$21,1)+1),INDEX($E$12:$E$21,MATCH(($A80+1),$E$12:$E$21,1))+1)-INDEX($E$12:$E$21,MATCH(($A80+1),$E$12:$E$21,1)))),$F$12) * (($B$9 * (($A80+1)/100)) + (($B$10 * (($A80+1)/100)^2) * $B$12)))</f>
        <v/>
      </c>
      <c r="D80" s="12" t="str">
        <f>IF(($A80+2)&gt;$B$11, "", IFERROR((INDEX($F$12:$F$21,MATCH(($A80+2),$E$12:$E$21,1))+(($A80+2)-INDEX($E$12:$E$21,MATCH(($A80+2),$E$12:$E$21,1)))*(IFERROR(INDEX($F$12:$F$21,MATCH(($A80+2),$E$12:$E$21,1)+1),INDEX($F$12:$F$21,MATCH(($A80+2),$E$12:$E$21,1)))-INDEX($F$12:$F$21,MATCH(($A80+2),$E$12:$E$21,1)))/IF((IFERROR(INDEX($E$12:$E$21,MATCH(($A80+2),$E$12:$E$21,1)+1),INDEX($E$12:$E$21,MATCH(($A80+2),$E$12:$E$21,1))+1)-INDEX($E$12:$E$21,MATCH(($A80+2),$E$12:$E$21,1)))=0,1,IFERROR(INDEX($E$12:$E$21,MATCH(($A80+2),$E$12:$E$21,1)+1),INDEX($E$12:$E$21,MATCH(($A80+2),$E$12:$E$21,1))+1)-INDEX($E$12:$E$21,MATCH(($A80+2),$E$12:$E$21,1)))),$F$12) * (($B$9 * (($A80+2)/100)) + (($B$10 * (($A80+2)/100)^2) * $B$12)))</f>
        <v/>
      </c>
      <c r="E80" s="12" t="str">
        <f>IF(($A80+3)&gt;$B$11, "", IFERROR((INDEX($F$12:$F$21,MATCH(($A80+3),$E$12:$E$21,1))+(($A80+3)-INDEX($E$12:$E$21,MATCH(($A80+3),$E$12:$E$21,1)))*(IFERROR(INDEX($F$12:$F$21,MATCH(($A80+3),$E$12:$E$21,1)+1),INDEX($F$12:$F$21,MATCH(($A80+3),$E$12:$E$21,1)))-INDEX($F$12:$F$21,MATCH(($A80+3),$E$12:$E$21,1)))/IF((IFERROR(INDEX($E$12:$E$21,MATCH(($A80+3),$E$12:$E$21,1)+1),INDEX($E$12:$E$21,MATCH(($A80+3),$E$12:$E$21,1))+1)-INDEX($E$12:$E$21,MATCH(($A80+3),$E$12:$E$21,1)))=0,1,IFERROR(INDEX($E$12:$E$21,MATCH(($A80+3),$E$12:$E$21,1)+1),INDEX($E$12:$E$21,MATCH(($A80+3),$E$12:$E$21,1))+1)-INDEX($E$12:$E$21,MATCH(($A80+3),$E$12:$E$21,1)))),$F$12) * (($B$9 * (($A80+3)/100)) + (($B$10 * (($A80+3)/100)^2) * $B$12)))</f>
        <v/>
      </c>
      <c r="F80" s="12" t="str">
        <f>IF(($A80+4)&gt;$B$11, "", IFERROR((INDEX($F$12:$F$21,MATCH(($A80+4),$E$12:$E$21,1))+(($A80+4)-INDEX($E$12:$E$21,MATCH(($A80+4),$E$12:$E$21,1)))*(IFERROR(INDEX($F$12:$F$21,MATCH(($A80+4),$E$12:$E$21,1)+1),INDEX($F$12:$F$21,MATCH(($A80+4),$E$12:$E$21,1)))-INDEX($F$12:$F$21,MATCH(($A80+4),$E$12:$E$21,1)))/IF((IFERROR(INDEX($E$12:$E$21,MATCH(($A80+4),$E$12:$E$21,1)+1),INDEX($E$12:$E$21,MATCH(($A80+4),$E$12:$E$21,1))+1)-INDEX($E$12:$E$21,MATCH(($A80+4),$E$12:$E$21,1)))=0,1,IFERROR(INDEX($E$12:$E$21,MATCH(($A80+4),$E$12:$E$21,1)+1),INDEX($E$12:$E$21,MATCH(($A80+4),$E$12:$E$21,1))+1)-INDEX($E$12:$E$21,MATCH(($A80+4),$E$12:$E$21,1)))),$F$12) * (($B$9 * (($A80+4)/100)) + (($B$10 * (($A80+4)/100)^2) * $B$12)))</f>
        <v/>
      </c>
      <c r="G80" s="12" t="str">
        <f>IF(($A80+5)&gt;$B$11, "", IFERROR((INDEX($F$12:$F$21,MATCH(($A80+5),$E$12:$E$21,1))+(($A80+5)-INDEX($E$12:$E$21,MATCH(($A80+5),$E$12:$E$21,1)))*(IFERROR(INDEX($F$12:$F$21,MATCH(($A80+5),$E$12:$E$21,1)+1),INDEX($F$12:$F$21,MATCH(($A80+5),$E$12:$E$21,1)))-INDEX($F$12:$F$21,MATCH(($A80+5),$E$12:$E$21,1)))/IF((IFERROR(INDEX($E$12:$E$21,MATCH(($A80+5),$E$12:$E$21,1)+1),INDEX($E$12:$E$21,MATCH(($A80+5),$E$12:$E$21,1))+1)-INDEX($E$12:$E$21,MATCH(($A80+5),$E$12:$E$21,1)))=0,1,IFERROR(INDEX($E$12:$E$21,MATCH(($A80+5),$E$12:$E$21,1)+1),INDEX($E$12:$E$21,MATCH(($A80+5),$E$12:$E$21,1))+1)-INDEX($E$12:$E$21,MATCH(($A80+5),$E$12:$E$21,1)))),$F$12) * (($B$9 * (($A80+5)/100)) + (($B$10 * (($A80+5)/100)^2) * $B$12)))</f>
        <v/>
      </c>
      <c r="H80" s="12" t="str">
        <f>IF(($A80+6)&gt;$B$11, "", IFERROR((INDEX($F$12:$F$21,MATCH(($A80+6),$E$12:$E$21,1))+(($A80+6)-INDEX($E$12:$E$21,MATCH(($A80+6),$E$12:$E$21,1)))*(IFERROR(INDEX($F$12:$F$21,MATCH(($A80+6),$E$12:$E$21,1)+1),INDEX($F$12:$F$21,MATCH(($A80+6),$E$12:$E$21,1)))-INDEX($F$12:$F$21,MATCH(($A80+6),$E$12:$E$21,1)))/IF((IFERROR(INDEX($E$12:$E$21,MATCH(($A80+6),$E$12:$E$21,1)+1),INDEX($E$12:$E$21,MATCH(($A80+6),$E$12:$E$21,1))+1)-INDEX($E$12:$E$21,MATCH(($A80+6),$E$12:$E$21,1)))=0,1,IFERROR(INDEX($E$12:$E$21,MATCH(($A80+6),$E$12:$E$21,1)+1),INDEX($E$12:$E$21,MATCH(($A80+6),$E$12:$E$21,1))+1)-INDEX($E$12:$E$21,MATCH(($A80+6),$E$12:$E$21,1)))),$F$12) * (($B$9 * (($A80+6)/100)) + (($B$10 * (($A80+6)/100)^2) * $B$12)))</f>
        <v/>
      </c>
      <c r="I80" s="12" t="str">
        <f>IF(($A80+7)&gt;$B$11, "", IFERROR((INDEX($F$12:$F$21,MATCH(($A80+7),$E$12:$E$21,1))+(($A80+7)-INDEX($E$12:$E$21,MATCH(($A80+7),$E$12:$E$21,1)))*(IFERROR(INDEX($F$12:$F$21,MATCH(($A80+7),$E$12:$E$21,1)+1),INDEX($F$12:$F$21,MATCH(($A80+7),$E$12:$E$21,1)))-INDEX($F$12:$F$21,MATCH(($A80+7),$E$12:$E$21,1)))/IF((IFERROR(INDEX($E$12:$E$21,MATCH(($A80+7),$E$12:$E$21,1)+1),INDEX($E$12:$E$21,MATCH(($A80+7),$E$12:$E$21,1))+1)-INDEX($E$12:$E$21,MATCH(($A80+7),$E$12:$E$21,1)))=0,1,IFERROR(INDEX($E$12:$E$21,MATCH(($A80+7),$E$12:$E$21,1)+1),INDEX($E$12:$E$21,MATCH(($A80+7),$E$12:$E$21,1))+1)-INDEX($E$12:$E$21,MATCH(($A80+7),$E$12:$E$21,1)))),$F$12) * (($B$9 * (($A80+7)/100)) + (($B$10 * (($A80+7)/100)^2) * $B$12)))</f>
        <v/>
      </c>
      <c r="J80" s="12" t="str">
        <f>IF(($A80+8)&gt;$B$11, "", IFERROR((INDEX($F$12:$F$21,MATCH(($A80+8),$E$12:$E$21,1))+(($A80+8)-INDEX($E$12:$E$21,MATCH(($A80+8),$E$12:$E$21,1)))*(IFERROR(INDEX($F$12:$F$21,MATCH(($A80+8),$E$12:$E$21,1)+1),INDEX($F$12:$F$21,MATCH(($A80+8),$E$12:$E$21,1)))-INDEX($F$12:$F$21,MATCH(($A80+8),$E$12:$E$21,1)))/IF((IFERROR(INDEX($E$12:$E$21,MATCH(($A80+8),$E$12:$E$21,1)+1),INDEX($E$12:$E$21,MATCH(($A80+8),$E$12:$E$21,1))+1)-INDEX($E$12:$E$21,MATCH(($A80+8),$E$12:$E$21,1)))=0,1,IFERROR(INDEX($E$12:$E$21,MATCH(($A80+8),$E$12:$E$21,1)+1),INDEX($E$12:$E$21,MATCH(($A80+8),$E$12:$E$21,1))+1)-INDEX($E$12:$E$21,MATCH(($A80+8),$E$12:$E$21,1)))),$F$12) * (($B$9 * (($A80+8)/100)) + (($B$10 * (($A80+8)/100)^2) * $B$12)))</f>
        <v/>
      </c>
      <c r="K80" s="12" t="str">
        <f>IF(($A80+9)&gt;$B$11, "", IFERROR((INDEX($F$12:$F$21,MATCH(($A80+9),$E$12:$E$21,1))+(($A80+9)-INDEX($E$12:$E$21,MATCH(($A80+9),$E$12:$E$21,1)))*(IFERROR(INDEX($F$12:$F$21,MATCH(($A80+9),$E$12:$E$21,1)+1),INDEX($F$12:$F$21,MATCH(($A80+9),$E$12:$E$21,1)))-INDEX($F$12:$F$21,MATCH(($A80+9),$E$12:$E$21,1)))/IF((IFERROR(INDEX($E$12:$E$21,MATCH(($A80+9),$E$12:$E$21,1)+1),INDEX($E$12:$E$21,MATCH(($A80+9),$E$12:$E$21,1))+1)-INDEX($E$12:$E$21,MATCH(($A80+9),$E$12:$E$21,1)))=0,1,IFERROR(INDEX($E$12:$E$21,MATCH(($A80+9),$E$12:$E$21,1)+1),INDEX($E$12:$E$21,MATCH(($A80+9),$E$12:$E$21,1))+1)-INDEX($E$12:$E$21,MATCH(($A80+9),$E$12:$E$21,1)))),$F$12) * (($B$9 * (($A80+9)/100)) + (($B$10 * (($A80+9)/100)^2) * $B$12)))</f>
        <v/>
      </c>
    </row>
    <row r="81">
      <c r="A81" s="11">
        <v>450</v>
      </c>
      <c r="B81" s="12" t="str">
        <f>IF(($A81+0)&gt;$B$11, "", IFERROR((INDEX($F$12:$F$21,MATCH(($A81+0),$E$12:$E$21,1))+(($A81+0)-INDEX($E$12:$E$21,MATCH(($A81+0),$E$12:$E$21,1)))*(IFERROR(INDEX($F$12:$F$21,MATCH(($A81+0),$E$12:$E$21,1)+1),INDEX($F$12:$F$21,MATCH(($A81+0),$E$12:$E$21,1)))-INDEX($F$12:$F$21,MATCH(($A81+0),$E$12:$E$21,1)))/IF((IFERROR(INDEX($E$12:$E$21,MATCH(($A81+0),$E$12:$E$21,1)+1),INDEX($E$12:$E$21,MATCH(($A81+0),$E$12:$E$21,1))+1)-INDEX($E$12:$E$21,MATCH(($A81+0),$E$12:$E$21,1)))=0,1,IFERROR(INDEX($E$12:$E$21,MATCH(($A81+0),$E$12:$E$21,1)+1),INDEX($E$12:$E$21,MATCH(($A81+0),$E$12:$E$21,1))+1)-INDEX($E$12:$E$21,MATCH(($A81+0),$E$12:$E$21,1)))),$F$12) * (($B$9 * (($A81+0)/100)) + (($B$10 * (($A81+0)/100)^2) * $B$12)))</f>
        <v/>
      </c>
      <c r="C81" s="12" t="str">
        <f>IF(($A81+1)&gt;$B$11, "", IFERROR((INDEX($F$12:$F$21,MATCH(($A81+1),$E$12:$E$21,1))+(($A81+1)-INDEX($E$12:$E$21,MATCH(($A81+1),$E$12:$E$21,1)))*(IFERROR(INDEX($F$12:$F$21,MATCH(($A81+1),$E$12:$E$21,1)+1),INDEX($F$12:$F$21,MATCH(($A81+1),$E$12:$E$21,1)))-INDEX($F$12:$F$21,MATCH(($A81+1),$E$12:$E$21,1)))/IF((IFERROR(INDEX($E$12:$E$21,MATCH(($A81+1),$E$12:$E$21,1)+1),INDEX($E$12:$E$21,MATCH(($A81+1),$E$12:$E$21,1))+1)-INDEX($E$12:$E$21,MATCH(($A81+1),$E$12:$E$21,1)))=0,1,IFERROR(INDEX($E$12:$E$21,MATCH(($A81+1),$E$12:$E$21,1)+1),INDEX($E$12:$E$21,MATCH(($A81+1),$E$12:$E$21,1))+1)-INDEX($E$12:$E$21,MATCH(($A81+1),$E$12:$E$21,1)))),$F$12) * (($B$9 * (($A81+1)/100)) + (($B$10 * (($A81+1)/100)^2) * $B$12)))</f>
        <v/>
      </c>
      <c r="D81" s="12" t="str">
        <f>IF(($A81+2)&gt;$B$11, "", IFERROR((INDEX($F$12:$F$21,MATCH(($A81+2),$E$12:$E$21,1))+(($A81+2)-INDEX($E$12:$E$21,MATCH(($A81+2),$E$12:$E$21,1)))*(IFERROR(INDEX($F$12:$F$21,MATCH(($A81+2),$E$12:$E$21,1)+1),INDEX($F$12:$F$21,MATCH(($A81+2),$E$12:$E$21,1)))-INDEX($F$12:$F$21,MATCH(($A81+2),$E$12:$E$21,1)))/IF((IFERROR(INDEX($E$12:$E$21,MATCH(($A81+2),$E$12:$E$21,1)+1),INDEX($E$12:$E$21,MATCH(($A81+2),$E$12:$E$21,1))+1)-INDEX($E$12:$E$21,MATCH(($A81+2),$E$12:$E$21,1)))=0,1,IFERROR(INDEX($E$12:$E$21,MATCH(($A81+2),$E$12:$E$21,1)+1),INDEX($E$12:$E$21,MATCH(($A81+2),$E$12:$E$21,1))+1)-INDEX($E$12:$E$21,MATCH(($A81+2),$E$12:$E$21,1)))),$F$12) * (($B$9 * (($A81+2)/100)) + (($B$10 * (($A81+2)/100)^2) * $B$12)))</f>
        <v/>
      </c>
      <c r="E81" s="12" t="str">
        <f>IF(($A81+3)&gt;$B$11, "", IFERROR((INDEX($F$12:$F$21,MATCH(($A81+3),$E$12:$E$21,1))+(($A81+3)-INDEX($E$12:$E$21,MATCH(($A81+3),$E$12:$E$21,1)))*(IFERROR(INDEX($F$12:$F$21,MATCH(($A81+3),$E$12:$E$21,1)+1),INDEX($F$12:$F$21,MATCH(($A81+3),$E$12:$E$21,1)))-INDEX($F$12:$F$21,MATCH(($A81+3),$E$12:$E$21,1)))/IF((IFERROR(INDEX($E$12:$E$21,MATCH(($A81+3),$E$12:$E$21,1)+1),INDEX($E$12:$E$21,MATCH(($A81+3),$E$12:$E$21,1))+1)-INDEX($E$12:$E$21,MATCH(($A81+3),$E$12:$E$21,1)))=0,1,IFERROR(INDEX($E$12:$E$21,MATCH(($A81+3),$E$12:$E$21,1)+1),INDEX($E$12:$E$21,MATCH(($A81+3),$E$12:$E$21,1))+1)-INDEX($E$12:$E$21,MATCH(($A81+3),$E$12:$E$21,1)))),$F$12) * (($B$9 * (($A81+3)/100)) + (($B$10 * (($A81+3)/100)^2) * $B$12)))</f>
        <v/>
      </c>
      <c r="F81" s="12" t="str">
        <f>IF(($A81+4)&gt;$B$11, "", IFERROR((INDEX($F$12:$F$21,MATCH(($A81+4),$E$12:$E$21,1))+(($A81+4)-INDEX($E$12:$E$21,MATCH(($A81+4),$E$12:$E$21,1)))*(IFERROR(INDEX($F$12:$F$21,MATCH(($A81+4),$E$12:$E$21,1)+1),INDEX($F$12:$F$21,MATCH(($A81+4),$E$12:$E$21,1)))-INDEX($F$12:$F$21,MATCH(($A81+4),$E$12:$E$21,1)))/IF((IFERROR(INDEX($E$12:$E$21,MATCH(($A81+4),$E$12:$E$21,1)+1),INDEX($E$12:$E$21,MATCH(($A81+4),$E$12:$E$21,1))+1)-INDEX($E$12:$E$21,MATCH(($A81+4),$E$12:$E$21,1)))=0,1,IFERROR(INDEX($E$12:$E$21,MATCH(($A81+4),$E$12:$E$21,1)+1),INDEX($E$12:$E$21,MATCH(($A81+4),$E$12:$E$21,1))+1)-INDEX($E$12:$E$21,MATCH(($A81+4),$E$12:$E$21,1)))),$F$12) * (($B$9 * (($A81+4)/100)) + (($B$10 * (($A81+4)/100)^2) * $B$12)))</f>
        <v/>
      </c>
      <c r="G81" s="12" t="str">
        <f>IF(($A81+5)&gt;$B$11, "", IFERROR((INDEX($F$12:$F$21,MATCH(($A81+5),$E$12:$E$21,1))+(($A81+5)-INDEX($E$12:$E$21,MATCH(($A81+5),$E$12:$E$21,1)))*(IFERROR(INDEX($F$12:$F$21,MATCH(($A81+5),$E$12:$E$21,1)+1),INDEX($F$12:$F$21,MATCH(($A81+5),$E$12:$E$21,1)))-INDEX($F$12:$F$21,MATCH(($A81+5),$E$12:$E$21,1)))/IF((IFERROR(INDEX($E$12:$E$21,MATCH(($A81+5),$E$12:$E$21,1)+1),INDEX($E$12:$E$21,MATCH(($A81+5),$E$12:$E$21,1))+1)-INDEX($E$12:$E$21,MATCH(($A81+5),$E$12:$E$21,1)))=0,1,IFERROR(INDEX($E$12:$E$21,MATCH(($A81+5),$E$12:$E$21,1)+1),INDEX($E$12:$E$21,MATCH(($A81+5),$E$12:$E$21,1))+1)-INDEX($E$12:$E$21,MATCH(($A81+5),$E$12:$E$21,1)))),$F$12) * (($B$9 * (($A81+5)/100)) + (($B$10 * (($A81+5)/100)^2) * $B$12)))</f>
        <v/>
      </c>
      <c r="H81" s="12" t="str">
        <f>IF(($A81+6)&gt;$B$11, "", IFERROR((INDEX($F$12:$F$21,MATCH(($A81+6),$E$12:$E$21,1))+(($A81+6)-INDEX($E$12:$E$21,MATCH(($A81+6),$E$12:$E$21,1)))*(IFERROR(INDEX($F$12:$F$21,MATCH(($A81+6),$E$12:$E$21,1)+1),INDEX($F$12:$F$21,MATCH(($A81+6),$E$12:$E$21,1)))-INDEX($F$12:$F$21,MATCH(($A81+6),$E$12:$E$21,1)))/IF((IFERROR(INDEX($E$12:$E$21,MATCH(($A81+6),$E$12:$E$21,1)+1),INDEX($E$12:$E$21,MATCH(($A81+6),$E$12:$E$21,1))+1)-INDEX($E$12:$E$21,MATCH(($A81+6),$E$12:$E$21,1)))=0,1,IFERROR(INDEX($E$12:$E$21,MATCH(($A81+6),$E$12:$E$21,1)+1),INDEX($E$12:$E$21,MATCH(($A81+6),$E$12:$E$21,1))+1)-INDEX($E$12:$E$21,MATCH(($A81+6),$E$12:$E$21,1)))),$F$12) * (($B$9 * (($A81+6)/100)) + (($B$10 * (($A81+6)/100)^2) * $B$12)))</f>
        <v/>
      </c>
      <c r="I81" s="12" t="str">
        <f>IF(($A81+7)&gt;$B$11, "", IFERROR((INDEX($F$12:$F$21,MATCH(($A81+7),$E$12:$E$21,1))+(($A81+7)-INDEX($E$12:$E$21,MATCH(($A81+7),$E$12:$E$21,1)))*(IFERROR(INDEX($F$12:$F$21,MATCH(($A81+7),$E$12:$E$21,1)+1),INDEX($F$12:$F$21,MATCH(($A81+7),$E$12:$E$21,1)))-INDEX($F$12:$F$21,MATCH(($A81+7),$E$12:$E$21,1)))/IF((IFERROR(INDEX($E$12:$E$21,MATCH(($A81+7),$E$12:$E$21,1)+1),INDEX($E$12:$E$21,MATCH(($A81+7),$E$12:$E$21,1))+1)-INDEX($E$12:$E$21,MATCH(($A81+7),$E$12:$E$21,1)))=0,1,IFERROR(INDEX($E$12:$E$21,MATCH(($A81+7),$E$12:$E$21,1)+1),INDEX($E$12:$E$21,MATCH(($A81+7),$E$12:$E$21,1))+1)-INDEX($E$12:$E$21,MATCH(($A81+7),$E$12:$E$21,1)))),$F$12) * (($B$9 * (($A81+7)/100)) + (($B$10 * (($A81+7)/100)^2) * $B$12)))</f>
        <v/>
      </c>
      <c r="J81" s="12" t="str">
        <f>IF(($A81+8)&gt;$B$11, "", IFERROR((INDEX($F$12:$F$21,MATCH(($A81+8),$E$12:$E$21,1))+(($A81+8)-INDEX($E$12:$E$21,MATCH(($A81+8),$E$12:$E$21,1)))*(IFERROR(INDEX($F$12:$F$21,MATCH(($A81+8),$E$12:$E$21,1)+1),INDEX($F$12:$F$21,MATCH(($A81+8),$E$12:$E$21,1)))-INDEX($F$12:$F$21,MATCH(($A81+8),$E$12:$E$21,1)))/IF((IFERROR(INDEX($E$12:$E$21,MATCH(($A81+8),$E$12:$E$21,1)+1),INDEX($E$12:$E$21,MATCH(($A81+8),$E$12:$E$21,1))+1)-INDEX($E$12:$E$21,MATCH(($A81+8),$E$12:$E$21,1)))=0,1,IFERROR(INDEX($E$12:$E$21,MATCH(($A81+8),$E$12:$E$21,1)+1),INDEX($E$12:$E$21,MATCH(($A81+8),$E$12:$E$21,1))+1)-INDEX($E$12:$E$21,MATCH(($A81+8),$E$12:$E$21,1)))),$F$12) * (($B$9 * (($A81+8)/100)) + (($B$10 * (($A81+8)/100)^2) * $B$12)))</f>
        <v/>
      </c>
      <c r="K81" s="12" t="str">
        <f>IF(($A81+9)&gt;$B$11, "", IFERROR((INDEX($F$12:$F$21,MATCH(($A81+9),$E$12:$E$21,1))+(($A81+9)-INDEX($E$12:$E$21,MATCH(($A81+9),$E$12:$E$21,1)))*(IFERROR(INDEX($F$12:$F$21,MATCH(($A81+9),$E$12:$E$21,1)+1),INDEX($F$12:$F$21,MATCH(($A81+9),$E$12:$E$21,1)))-INDEX($F$12:$F$21,MATCH(($A81+9),$E$12:$E$21,1)))/IF((IFERROR(INDEX($E$12:$E$21,MATCH(($A81+9),$E$12:$E$21,1)+1),INDEX($E$12:$E$21,MATCH(($A81+9),$E$12:$E$21,1))+1)-INDEX($E$12:$E$21,MATCH(($A81+9),$E$12:$E$21,1)))=0,1,IFERROR(INDEX($E$12:$E$21,MATCH(($A81+9),$E$12:$E$21,1)+1),INDEX($E$12:$E$21,MATCH(($A81+9),$E$12:$E$21,1))+1)-INDEX($E$12:$E$21,MATCH(($A81+9),$E$12:$E$21,1)))),$F$12) * (($B$9 * (($A81+9)/100)) + (($B$10 * (($A81+9)/100)^2) * $B$12)))</f>
        <v/>
      </c>
    </row>
    <row r="82">
      <c r="A82" s="11">
        <v>460</v>
      </c>
      <c r="B82" s="12" t="str">
        <f>IF(($A82+0)&gt;$B$11, "", IFERROR((INDEX($F$12:$F$21,MATCH(($A82+0),$E$12:$E$21,1))+(($A82+0)-INDEX($E$12:$E$21,MATCH(($A82+0),$E$12:$E$21,1)))*(IFERROR(INDEX($F$12:$F$21,MATCH(($A82+0),$E$12:$E$21,1)+1),INDEX($F$12:$F$21,MATCH(($A82+0),$E$12:$E$21,1)))-INDEX($F$12:$F$21,MATCH(($A82+0),$E$12:$E$21,1)))/IF((IFERROR(INDEX($E$12:$E$21,MATCH(($A82+0),$E$12:$E$21,1)+1),INDEX($E$12:$E$21,MATCH(($A82+0),$E$12:$E$21,1))+1)-INDEX($E$12:$E$21,MATCH(($A82+0),$E$12:$E$21,1)))=0,1,IFERROR(INDEX($E$12:$E$21,MATCH(($A82+0),$E$12:$E$21,1)+1),INDEX($E$12:$E$21,MATCH(($A82+0),$E$12:$E$21,1))+1)-INDEX($E$12:$E$21,MATCH(($A82+0),$E$12:$E$21,1)))),$F$12) * (($B$9 * (($A82+0)/100)) + (($B$10 * (($A82+0)/100)^2) * $B$12)))</f>
        <v/>
      </c>
      <c r="C82" s="12" t="str">
        <f>IF(($A82+1)&gt;$B$11, "", IFERROR((INDEX($F$12:$F$21,MATCH(($A82+1),$E$12:$E$21,1))+(($A82+1)-INDEX($E$12:$E$21,MATCH(($A82+1),$E$12:$E$21,1)))*(IFERROR(INDEX($F$12:$F$21,MATCH(($A82+1),$E$12:$E$21,1)+1),INDEX($F$12:$F$21,MATCH(($A82+1),$E$12:$E$21,1)))-INDEX($F$12:$F$21,MATCH(($A82+1),$E$12:$E$21,1)))/IF((IFERROR(INDEX($E$12:$E$21,MATCH(($A82+1),$E$12:$E$21,1)+1),INDEX($E$12:$E$21,MATCH(($A82+1),$E$12:$E$21,1))+1)-INDEX($E$12:$E$21,MATCH(($A82+1),$E$12:$E$21,1)))=0,1,IFERROR(INDEX($E$12:$E$21,MATCH(($A82+1),$E$12:$E$21,1)+1),INDEX($E$12:$E$21,MATCH(($A82+1),$E$12:$E$21,1))+1)-INDEX($E$12:$E$21,MATCH(($A82+1),$E$12:$E$21,1)))),$F$12) * (($B$9 * (($A82+1)/100)) + (($B$10 * (($A82+1)/100)^2) * $B$12)))</f>
        <v/>
      </c>
      <c r="D82" s="12" t="str">
        <f>IF(($A82+2)&gt;$B$11, "", IFERROR((INDEX($F$12:$F$21,MATCH(($A82+2),$E$12:$E$21,1))+(($A82+2)-INDEX($E$12:$E$21,MATCH(($A82+2),$E$12:$E$21,1)))*(IFERROR(INDEX($F$12:$F$21,MATCH(($A82+2),$E$12:$E$21,1)+1),INDEX($F$12:$F$21,MATCH(($A82+2),$E$12:$E$21,1)))-INDEX($F$12:$F$21,MATCH(($A82+2),$E$12:$E$21,1)))/IF((IFERROR(INDEX($E$12:$E$21,MATCH(($A82+2),$E$12:$E$21,1)+1),INDEX($E$12:$E$21,MATCH(($A82+2),$E$12:$E$21,1))+1)-INDEX($E$12:$E$21,MATCH(($A82+2),$E$12:$E$21,1)))=0,1,IFERROR(INDEX($E$12:$E$21,MATCH(($A82+2),$E$12:$E$21,1)+1),INDEX($E$12:$E$21,MATCH(($A82+2),$E$12:$E$21,1))+1)-INDEX($E$12:$E$21,MATCH(($A82+2),$E$12:$E$21,1)))),$F$12) * (($B$9 * (($A82+2)/100)) + (($B$10 * (($A82+2)/100)^2) * $B$12)))</f>
        <v/>
      </c>
      <c r="E82" s="12" t="str">
        <f>IF(($A82+3)&gt;$B$11, "", IFERROR((INDEX($F$12:$F$21,MATCH(($A82+3),$E$12:$E$21,1))+(($A82+3)-INDEX($E$12:$E$21,MATCH(($A82+3),$E$12:$E$21,1)))*(IFERROR(INDEX($F$12:$F$21,MATCH(($A82+3),$E$12:$E$21,1)+1),INDEX($F$12:$F$21,MATCH(($A82+3),$E$12:$E$21,1)))-INDEX($F$12:$F$21,MATCH(($A82+3),$E$12:$E$21,1)))/IF((IFERROR(INDEX($E$12:$E$21,MATCH(($A82+3),$E$12:$E$21,1)+1),INDEX($E$12:$E$21,MATCH(($A82+3),$E$12:$E$21,1))+1)-INDEX($E$12:$E$21,MATCH(($A82+3),$E$12:$E$21,1)))=0,1,IFERROR(INDEX($E$12:$E$21,MATCH(($A82+3),$E$12:$E$21,1)+1),INDEX($E$12:$E$21,MATCH(($A82+3),$E$12:$E$21,1))+1)-INDEX($E$12:$E$21,MATCH(($A82+3),$E$12:$E$21,1)))),$F$12) * (($B$9 * (($A82+3)/100)) + (($B$10 * (($A82+3)/100)^2) * $B$12)))</f>
        <v/>
      </c>
      <c r="F82" s="12" t="str">
        <f>IF(($A82+4)&gt;$B$11, "", IFERROR((INDEX($F$12:$F$21,MATCH(($A82+4),$E$12:$E$21,1))+(($A82+4)-INDEX($E$12:$E$21,MATCH(($A82+4),$E$12:$E$21,1)))*(IFERROR(INDEX($F$12:$F$21,MATCH(($A82+4),$E$12:$E$21,1)+1),INDEX($F$12:$F$21,MATCH(($A82+4),$E$12:$E$21,1)))-INDEX($F$12:$F$21,MATCH(($A82+4),$E$12:$E$21,1)))/IF((IFERROR(INDEX($E$12:$E$21,MATCH(($A82+4),$E$12:$E$21,1)+1),INDEX($E$12:$E$21,MATCH(($A82+4),$E$12:$E$21,1))+1)-INDEX($E$12:$E$21,MATCH(($A82+4),$E$12:$E$21,1)))=0,1,IFERROR(INDEX($E$12:$E$21,MATCH(($A82+4),$E$12:$E$21,1)+1),INDEX($E$12:$E$21,MATCH(($A82+4),$E$12:$E$21,1))+1)-INDEX($E$12:$E$21,MATCH(($A82+4),$E$12:$E$21,1)))),$F$12) * (($B$9 * (($A82+4)/100)) + (($B$10 * (($A82+4)/100)^2) * $B$12)))</f>
        <v/>
      </c>
      <c r="G82" s="12" t="str">
        <f>IF(($A82+5)&gt;$B$11, "", IFERROR((INDEX($F$12:$F$21,MATCH(($A82+5),$E$12:$E$21,1))+(($A82+5)-INDEX($E$12:$E$21,MATCH(($A82+5),$E$12:$E$21,1)))*(IFERROR(INDEX($F$12:$F$21,MATCH(($A82+5),$E$12:$E$21,1)+1),INDEX($F$12:$F$21,MATCH(($A82+5),$E$12:$E$21,1)))-INDEX($F$12:$F$21,MATCH(($A82+5),$E$12:$E$21,1)))/IF((IFERROR(INDEX($E$12:$E$21,MATCH(($A82+5),$E$12:$E$21,1)+1),INDEX($E$12:$E$21,MATCH(($A82+5),$E$12:$E$21,1))+1)-INDEX($E$12:$E$21,MATCH(($A82+5),$E$12:$E$21,1)))=0,1,IFERROR(INDEX($E$12:$E$21,MATCH(($A82+5),$E$12:$E$21,1)+1),INDEX($E$12:$E$21,MATCH(($A82+5),$E$12:$E$21,1))+1)-INDEX($E$12:$E$21,MATCH(($A82+5),$E$12:$E$21,1)))),$F$12) * (($B$9 * (($A82+5)/100)) + (($B$10 * (($A82+5)/100)^2) * $B$12)))</f>
        <v/>
      </c>
      <c r="H82" s="12" t="str">
        <f>IF(($A82+6)&gt;$B$11, "", IFERROR((INDEX($F$12:$F$21,MATCH(($A82+6),$E$12:$E$21,1))+(($A82+6)-INDEX($E$12:$E$21,MATCH(($A82+6),$E$12:$E$21,1)))*(IFERROR(INDEX($F$12:$F$21,MATCH(($A82+6),$E$12:$E$21,1)+1),INDEX($F$12:$F$21,MATCH(($A82+6),$E$12:$E$21,1)))-INDEX($F$12:$F$21,MATCH(($A82+6),$E$12:$E$21,1)))/IF((IFERROR(INDEX($E$12:$E$21,MATCH(($A82+6),$E$12:$E$21,1)+1),INDEX($E$12:$E$21,MATCH(($A82+6),$E$12:$E$21,1))+1)-INDEX($E$12:$E$21,MATCH(($A82+6),$E$12:$E$21,1)))=0,1,IFERROR(INDEX($E$12:$E$21,MATCH(($A82+6),$E$12:$E$21,1)+1),INDEX($E$12:$E$21,MATCH(($A82+6),$E$12:$E$21,1))+1)-INDEX($E$12:$E$21,MATCH(($A82+6),$E$12:$E$21,1)))),$F$12) * (($B$9 * (($A82+6)/100)) + (($B$10 * (($A82+6)/100)^2) * $B$12)))</f>
        <v/>
      </c>
      <c r="I82" s="12" t="str">
        <f>IF(($A82+7)&gt;$B$11, "", IFERROR((INDEX($F$12:$F$21,MATCH(($A82+7),$E$12:$E$21,1))+(($A82+7)-INDEX($E$12:$E$21,MATCH(($A82+7),$E$12:$E$21,1)))*(IFERROR(INDEX($F$12:$F$21,MATCH(($A82+7),$E$12:$E$21,1)+1),INDEX($F$12:$F$21,MATCH(($A82+7),$E$12:$E$21,1)))-INDEX($F$12:$F$21,MATCH(($A82+7),$E$12:$E$21,1)))/IF((IFERROR(INDEX($E$12:$E$21,MATCH(($A82+7),$E$12:$E$21,1)+1),INDEX($E$12:$E$21,MATCH(($A82+7),$E$12:$E$21,1))+1)-INDEX($E$12:$E$21,MATCH(($A82+7),$E$12:$E$21,1)))=0,1,IFERROR(INDEX($E$12:$E$21,MATCH(($A82+7),$E$12:$E$21,1)+1),INDEX($E$12:$E$21,MATCH(($A82+7),$E$12:$E$21,1))+1)-INDEX($E$12:$E$21,MATCH(($A82+7),$E$12:$E$21,1)))),$F$12) * (($B$9 * (($A82+7)/100)) + (($B$10 * (($A82+7)/100)^2) * $B$12)))</f>
        <v/>
      </c>
      <c r="J82" s="12" t="str">
        <f>IF(($A82+8)&gt;$B$11, "", IFERROR((INDEX($F$12:$F$21,MATCH(($A82+8),$E$12:$E$21,1))+(($A82+8)-INDEX($E$12:$E$21,MATCH(($A82+8),$E$12:$E$21,1)))*(IFERROR(INDEX($F$12:$F$21,MATCH(($A82+8),$E$12:$E$21,1)+1),INDEX($F$12:$F$21,MATCH(($A82+8),$E$12:$E$21,1)))-INDEX($F$12:$F$21,MATCH(($A82+8),$E$12:$E$21,1)))/IF((IFERROR(INDEX($E$12:$E$21,MATCH(($A82+8),$E$12:$E$21,1)+1),INDEX($E$12:$E$21,MATCH(($A82+8),$E$12:$E$21,1))+1)-INDEX($E$12:$E$21,MATCH(($A82+8),$E$12:$E$21,1)))=0,1,IFERROR(INDEX($E$12:$E$21,MATCH(($A82+8),$E$12:$E$21,1)+1),INDEX($E$12:$E$21,MATCH(($A82+8),$E$12:$E$21,1))+1)-INDEX($E$12:$E$21,MATCH(($A82+8),$E$12:$E$21,1)))),$F$12) * (($B$9 * (($A82+8)/100)) + (($B$10 * (($A82+8)/100)^2) * $B$12)))</f>
        <v/>
      </c>
      <c r="K82" s="12" t="str">
        <f>IF(($A82+9)&gt;$B$11, "", IFERROR((INDEX($F$12:$F$21,MATCH(($A82+9),$E$12:$E$21,1))+(($A82+9)-INDEX($E$12:$E$21,MATCH(($A82+9),$E$12:$E$21,1)))*(IFERROR(INDEX($F$12:$F$21,MATCH(($A82+9),$E$12:$E$21,1)+1),INDEX($F$12:$F$21,MATCH(($A82+9),$E$12:$E$21,1)))-INDEX($F$12:$F$21,MATCH(($A82+9),$E$12:$E$21,1)))/IF((IFERROR(INDEX($E$12:$E$21,MATCH(($A82+9),$E$12:$E$21,1)+1),INDEX($E$12:$E$21,MATCH(($A82+9),$E$12:$E$21,1))+1)-INDEX($E$12:$E$21,MATCH(($A82+9),$E$12:$E$21,1)))=0,1,IFERROR(INDEX($E$12:$E$21,MATCH(($A82+9),$E$12:$E$21,1)+1),INDEX($E$12:$E$21,MATCH(($A82+9),$E$12:$E$21,1))+1)-INDEX($E$12:$E$21,MATCH(($A82+9),$E$12:$E$21,1)))),$F$12) * (($B$9 * (($A82+9)/100)) + (($B$10 * (($A82+9)/100)^2) * $B$12)))</f>
        <v/>
      </c>
    </row>
    <row r="83">
      <c r="A83" s="11">
        <v>470</v>
      </c>
      <c r="B83" s="12" t="str">
        <f>IF(($A83+0)&gt;$B$11, "", IFERROR((INDEX($F$12:$F$21,MATCH(($A83+0),$E$12:$E$21,1))+(($A83+0)-INDEX($E$12:$E$21,MATCH(($A83+0),$E$12:$E$21,1)))*(IFERROR(INDEX($F$12:$F$21,MATCH(($A83+0),$E$12:$E$21,1)+1),INDEX($F$12:$F$21,MATCH(($A83+0),$E$12:$E$21,1)))-INDEX($F$12:$F$21,MATCH(($A83+0),$E$12:$E$21,1)))/IF((IFERROR(INDEX($E$12:$E$21,MATCH(($A83+0),$E$12:$E$21,1)+1),INDEX($E$12:$E$21,MATCH(($A83+0),$E$12:$E$21,1))+1)-INDEX($E$12:$E$21,MATCH(($A83+0),$E$12:$E$21,1)))=0,1,IFERROR(INDEX($E$12:$E$21,MATCH(($A83+0),$E$12:$E$21,1)+1),INDEX($E$12:$E$21,MATCH(($A83+0),$E$12:$E$21,1))+1)-INDEX($E$12:$E$21,MATCH(($A83+0),$E$12:$E$21,1)))),$F$12) * (($B$9 * (($A83+0)/100)) + (($B$10 * (($A83+0)/100)^2) * $B$12)))</f>
        <v/>
      </c>
      <c r="C83" s="12" t="str">
        <f>IF(($A83+1)&gt;$B$11, "", IFERROR((INDEX($F$12:$F$21,MATCH(($A83+1),$E$12:$E$21,1))+(($A83+1)-INDEX($E$12:$E$21,MATCH(($A83+1),$E$12:$E$21,1)))*(IFERROR(INDEX($F$12:$F$21,MATCH(($A83+1),$E$12:$E$21,1)+1),INDEX($F$12:$F$21,MATCH(($A83+1),$E$12:$E$21,1)))-INDEX($F$12:$F$21,MATCH(($A83+1),$E$12:$E$21,1)))/IF((IFERROR(INDEX($E$12:$E$21,MATCH(($A83+1),$E$12:$E$21,1)+1),INDEX($E$12:$E$21,MATCH(($A83+1),$E$12:$E$21,1))+1)-INDEX($E$12:$E$21,MATCH(($A83+1),$E$12:$E$21,1)))=0,1,IFERROR(INDEX($E$12:$E$21,MATCH(($A83+1),$E$12:$E$21,1)+1),INDEX($E$12:$E$21,MATCH(($A83+1),$E$12:$E$21,1))+1)-INDEX($E$12:$E$21,MATCH(($A83+1),$E$12:$E$21,1)))),$F$12) * (($B$9 * (($A83+1)/100)) + (($B$10 * (($A83+1)/100)^2) * $B$12)))</f>
        <v/>
      </c>
      <c r="D83" s="12" t="str">
        <f>IF(($A83+2)&gt;$B$11, "", IFERROR((INDEX($F$12:$F$21,MATCH(($A83+2),$E$12:$E$21,1))+(($A83+2)-INDEX($E$12:$E$21,MATCH(($A83+2),$E$12:$E$21,1)))*(IFERROR(INDEX($F$12:$F$21,MATCH(($A83+2),$E$12:$E$21,1)+1),INDEX($F$12:$F$21,MATCH(($A83+2),$E$12:$E$21,1)))-INDEX($F$12:$F$21,MATCH(($A83+2),$E$12:$E$21,1)))/IF((IFERROR(INDEX($E$12:$E$21,MATCH(($A83+2),$E$12:$E$21,1)+1),INDEX($E$12:$E$21,MATCH(($A83+2),$E$12:$E$21,1))+1)-INDEX($E$12:$E$21,MATCH(($A83+2),$E$12:$E$21,1)))=0,1,IFERROR(INDEX($E$12:$E$21,MATCH(($A83+2),$E$12:$E$21,1)+1),INDEX($E$12:$E$21,MATCH(($A83+2),$E$12:$E$21,1))+1)-INDEX($E$12:$E$21,MATCH(($A83+2),$E$12:$E$21,1)))),$F$12) * (($B$9 * (($A83+2)/100)) + (($B$10 * (($A83+2)/100)^2) * $B$12)))</f>
        <v/>
      </c>
      <c r="E83" s="12" t="str">
        <f>IF(($A83+3)&gt;$B$11, "", IFERROR((INDEX($F$12:$F$21,MATCH(($A83+3),$E$12:$E$21,1))+(($A83+3)-INDEX($E$12:$E$21,MATCH(($A83+3),$E$12:$E$21,1)))*(IFERROR(INDEX($F$12:$F$21,MATCH(($A83+3),$E$12:$E$21,1)+1),INDEX($F$12:$F$21,MATCH(($A83+3),$E$12:$E$21,1)))-INDEX($F$12:$F$21,MATCH(($A83+3),$E$12:$E$21,1)))/IF((IFERROR(INDEX($E$12:$E$21,MATCH(($A83+3),$E$12:$E$21,1)+1),INDEX($E$12:$E$21,MATCH(($A83+3),$E$12:$E$21,1))+1)-INDEX($E$12:$E$21,MATCH(($A83+3),$E$12:$E$21,1)))=0,1,IFERROR(INDEX($E$12:$E$21,MATCH(($A83+3),$E$12:$E$21,1)+1),INDEX($E$12:$E$21,MATCH(($A83+3),$E$12:$E$21,1))+1)-INDEX($E$12:$E$21,MATCH(($A83+3),$E$12:$E$21,1)))),$F$12) * (($B$9 * (($A83+3)/100)) + (($B$10 * (($A83+3)/100)^2) * $B$12)))</f>
        <v/>
      </c>
      <c r="F83" s="12" t="str">
        <f>IF(($A83+4)&gt;$B$11, "", IFERROR((INDEX($F$12:$F$21,MATCH(($A83+4),$E$12:$E$21,1))+(($A83+4)-INDEX($E$12:$E$21,MATCH(($A83+4),$E$12:$E$21,1)))*(IFERROR(INDEX($F$12:$F$21,MATCH(($A83+4),$E$12:$E$21,1)+1),INDEX($F$12:$F$21,MATCH(($A83+4),$E$12:$E$21,1)))-INDEX($F$12:$F$21,MATCH(($A83+4),$E$12:$E$21,1)))/IF((IFERROR(INDEX($E$12:$E$21,MATCH(($A83+4),$E$12:$E$21,1)+1),INDEX($E$12:$E$21,MATCH(($A83+4),$E$12:$E$21,1))+1)-INDEX($E$12:$E$21,MATCH(($A83+4),$E$12:$E$21,1)))=0,1,IFERROR(INDEX($E$12:$E$21,MATCH(($A83+4),$E$12:$E$21,1)+1),INDEX($E$12:$E$21,MATCH(($A83+4),$E$12:$E$21,1))+1)-INDEX($E$12:$E$21,MATCH(($A83+4),$E$12:$E$21,1)))),$F$12) * (($B$9 * (($A83+4)/100)) + (($B$10 * (($A83+4)/100)^2) * $B$12)))</f>
        <v/>
      </c>
      <c r="G83" s="12" t="str">
        <f>IF(($A83+5)&gt;$B$11, "", IFERROR((INDEX($F$12:$F$21,MATCH(($A83+5),$E$12:$E$21,1))+(($A83+5)-INDEX($E$12:$E$21,MATCH(($A83+5),$E$12:$E$21,1)))*(IFERROR(INDEX($F$12:$F$21,MATCH(($A83+5),$E$12:$E$21,1)+1),INDEX($F$12:$F$21,MATCH(($A83+5),$E$12:$E$21,1)))-INDEX($F$12:$F$21,MATCH(($A83+5),$E$12:$E$21,1)))/IF((IFERROR(INDEX($E$12:$E$21,MATCH(($A83+5),$E$12:$E$21,1)+1),INDEX($E$12:$E$21,MATCH(($A83+5),$E$12:$E$21,1))+1)-INDEX($E$12:$E$21,MATCH(($A83+5),$E$12:$E$21,1)))=0,1,IFERROR(INDEX($E$12:$E$21,MATCH(($A83+5),$E$12:$E$21,1)+1),INDEX($E$12:$E$21,MATCH(($A83+5),$E$12:$E$21,1))+1)-INDEX($E$12:$E$21,MATCH(($A83+5),$E$12:$E$21,1)))),$F$12) * (($B$9 * (($A83+5)/100)) + (($B$10 * (($A83+5)/100)^2) * $B$12)))</f>
        <v/>
      </c>
      <c r="H83" s="12" t="str">
        <f>IF(($A83+6)&gt;$B$11, "", IFERROR((INDEX($F$12:$F$21,MATCH(($A83+6),$E$12:$E$21,1))+(($A83+6)-INDEX($E$12:$E$21,MATCH(($A83+6),$E$12:$E$21,1)))*(IFERROR(INDEX($F$12:$F$21,MATCH(($A83+6),$E$12:$E$21,1)+1),INDEX($F$12:$F$21,MATCH(($A83+6),$E$12:$E$21,1)))-INDEX($F$12:$F$21,MATCH(($A83+6),$E$12:$E$21,1)))/IF((IFERROR(INDEX($E$12:$E$21,MATCH(($A83+6),$E$12:$E$21,1)+1),INDEX($E$12:$E$21,MATCH(($A83+6),$E$12:$E$21,1))+1)-INDEX($E$12:$E$21,MATCH(($A83+6),$E$12:$E$21,1)))=0,1,IFERROR(INDEX($E$12:$E$21,MATCH(($A83+6),$E$12:$E$21,1)+1),INDEX($E$12:$E$21,MATCH(($A83+6),$E$12:$E$21,1))+1)-INDEX($E$12:$E$21,MATCH(($A83+6),$E$12:$E$21,1)))),$F$12) * (($B$9 * (($A83+6)/100)) + (($B$10 * (($A83+6)/100)^2) * $B$12)))</f>
        <v/>
      </c>
      <c r="I83" s="12" t="str">
        <f>IF(($A83+7)&gt;$B$11, "", IFERROR((INDEX($F$12:$F$21,MATCH(($A83+7),$E$12:$E$21,1))+(($A83+7)-INDEX($E$12:$E$21,MATCH(($A83+7),$E$12:$E$21,1)))*(IFERROR(INDEX($F$12:$F$21,MATCH(($A83+7),$E$12:$E$21,1)+1),INDEX($F$12:$F$21,MATCH(($A83+7),$E$12:$E$21,1)))-INDEX($F$12:$F$21,MATCH(($A83+7),$E$12:$E$21,1)))/IF((IFERROR(INDEX($E$12:$E$21,MATCH(($A83+7),$E$12:$E$21,1)+1),INDEX($E$12:$E$21,MATCH(($A83+7),$E$12:$E$21,1))+1)-INDEX($E$12:$E$21,MATCH(($A83+7),$E$12:$E$21,1)))=0,1,IFERROR(INDEX($E$12:$E$21,MATCH(($A83+7),$E$12:$E$21,1)+1),INDEX($E$12:$E$21,MATCH(($A83+7),$E$12:$E$21,1))+1)-INDEX($E$12:$E$21,MATCH(($A83+7),$E$12:$E$21,1)))),$F$12) * (($B$9 * (($A83+7)/100)) + (($B$10 * (($A83+7)/100)^2) * $B$12)))</f>
        <v/>
      </c>
      <c r="J83" s="12" t="str">
        <f>IF(($A83+8)&gt;$B$11, "", IFERROR((INDEX($F$12:$F$21,MATCH(($A83+8),$E$12:$E$21,1))+(($A83+8)-INDEX($E$12:$E$21,MATCH(($A83+8),$E$12:$E$21,1)))*(IFERROR(INDEX($F$12:$F$21,MATCH(($A83+8),$E$12:$E$21,1)+1),INDEX($F$12:$F$21,MATCH(($A83+8),$E$12:$E$21,1)))-INDEX($F$12:$F$21,MATCH(($A83+8),$E$12:$E$21,1)))/IF((IFERROR(INDEX($E$12:$E$21,MATCH(($A83+8),$E$12:$E$21,1)+1),INDEX($E$12:$E$21,MATCH(($A83+8),$E$12:$E$21,1))+1)-INDEX($E$12:$E$21,MATCH(($A83+8),$E$12:$E$21,1)))=0,1,IFERROR(INDEX($E$12:$E$21,MATCH(($A83+8),$E$12:$E$21,1)+1),INDEX($E$12:$E$21,MATCH(($A83+8),$E$12:$E$21,1))+1)-INDEX($E$12:$E$21,MATCH(($A83+8),$E$12:$E$21,1)))),$F$12) * (($B$9 * (($A83+8)/100)) + (($B$10 * (($A83+8)/100)^2) * $B$12)))</f>
        <v/>
      </c>
      <c r="K83" s="12" t="str">
        <f>IF(($A83+9)&gt;$B$11, "", IFERROR((INDEX($F$12:$F$21,MATCH(($A83+9),$E$12:$E$21,1))+(($A83+9)-INDEX($E$12:$E$21,MATCH(($A83+9),$E$12:$E$21,1)))*(IFERROR(INDEX($F$12:$F$21,MATCH(($A83+9),$E$12:$E$21,1)+1),INDEX($F$12:$F$21,MATCH(($A83+9),$E$12:$E$21,1)))-INDEX($F$12:$F$21,MATCH(($A83+9),$E$12:$E$21,1)))/IF((IFERROR(INDEX($E$12:$E$21,MATCH(($A83+9),$E$12:$E$21,1)+1),INDEX($E$12:$E$21,MATCH(($A83+9),$E$12:$E$21,1))+1)-INDEX($E$12:$E$21,MATCH(($A83+9),$E$12:$E$21,1)))=0,1,IFERROR(INDEX($E$12:$E$21,MATCH(($A83+9),$E$12:$E$21,1)+1),INDEX($E$12:$E$21,MATCH(($A83+9),$E$12:$E$21,1))+1)-INDEX($E$12:$E$21,MATCH(($A83+9),$E$12:$E$21,1)))),$F$12) * (($B$9 * (($A83+9)/100)) + (($B$10 * (($A83+9)/100)^2) * $B$12)))</f>
        <v/>
      </c>
    </row>
    <row r="84">
      <c r="A84" s="11">
        <v>480</v>
      </c>
      <c r="B84" s="12" t="str">
        <f>IF(($A84+0)&gt;$B$11, "", IFERROR((INDEX($F$12:$F$21,MATCH(($A84+0),$E$12:$E$21,1))+(($A84+0)-INDEX($E$12:$E$21,MATCH(($A84+0),$E$12:$E$21,1)))*(IFERROR(INDEX($F$12:$F$21,MATCH(($A84+0),$E$12:$E$21,1)+1),INDEX($F$12:$F$21,MATCH(($A84+0),$E$12:$E$21,1)))-INDEX($F$12:$F$21,MATCH(($A84+0),$E$12:$E$21,1)))/IF((IFERROR(INDEX($E$12:$E$21,MATCH(($A84+0),$E$12:$E$21,1)+1),INDEX($E$12:$E$21,MATCH(($A84+0),$E$12:$E$21,1))+1)-INDEX($E$12:$E$21,MATCH(($A84+0),$E$12:$E$21,1)))=0,1,IFERROR(INDEX($E$12:$E$21,MATCH(($A84+0),$E$12:$E$21,1)+1),INDEX($E$12:$E$21,MATCH(($A84+0),$E$12:$E$21,1))+1)-INDEX($E$12:$E$21,MATCH(($A84+0),$E$12:$E$21,1)))),$F$12) * (($B$9 * (($A84+0)/100)) + (($B$10 * (($A84+0)/100)^2) * $B$12)))</f>
        <v/>
      </c>
      <c r="C84" s="12" t="str">
        <f>IF(($A84+1)&gt;$B$11, "", IFERROR((INDEX($F$12:$F$21,MATCH(($A84+1),$E$12:$E$21,1))+(($A84+1)-INDEX($E$12:$E$21,MATCH(($A84+1),$E$12:$E$21,1)))*(IFERROR(INDEX($F$12:$F$21,MATCH(($A84+1),$E$12:$E$21,1)+1),INDEX($F$12:$F$21,MATCH(($A84+1),$E$12:$E$21,1)))-INDEX($F$12:$F$21,MATCH(($A84+1),$E$12:$E$21,1)))/IF((IFERROR(INDEX($E$12:$E$21,MATCH(($A84+1),$E$12:$E$21,1)+1),INDEX($E$12:$E$21,MATCH(($A84+1),$E$12:$E$21,1))+1)-INDEX($E$12:$E$21,MATCH(($A84+1),$E$12:$E$21,1)))=0,1,IFERROR(INDEX($E$12:$E$21,MATCH(($A84+1),$E$12:$E$21,1)+1),INDEX($E$12:$E$21,MATCH(($A84+1),$E$12:$E$21,1))+1)-INDEX($E$12:$E$21,MATCH(($A84+1),$E$12:$E$21,1)))),$F$12) * (($B$9 * (($A84+1)/100)) + (($B$10 * (($A84+1)/100)^2) * $B$12)))</f>
        <v/>
      </c>
      <c r="D84" s="12" t="str">
        <f>IF(($A84+2)&gt;$B$11, "", IFERROR((INDEX($F$12:$F$21,MATCH(($A84+2),$E$12:$E$21,1))+(($A84+2)-INDEX($E$12:$E$21,MATCH(($A84+2),$E$12:$E$21,1)))*(IFERROR(INDEX($F$12:$F$21,MATCH(($A84+2),$E$12:$E$21,1)+1),INDEX($F$12:$F$21,MATCH(($A84+2),$E$12:$E$21,1)))-INDEX($F$12:$F$21,MATCH(($A84+2),$E$12:$E$21,1)))/IF((IFERROR(INDEX($E$12:$E$21,MATCH(($A84+2),$E$12:$E$21,1)+1),INDEX($E$12:$E$21,MATCH(($A84+2),$E$12:$E$21,1))+1)-INDEX($E$12:$E$21,MATCH(($A84+2),$E$12:$E$21,1)))=0,1,IFERROR(INDEX($E$12:$E$21,MATCH(($A84+2),$E$12:$E$21,1)+1),INDEX($E$12:$E$21,MATCH(($A84+2),$E$12:$E$21,1))+1)-INDEX($E$12:$E$21,MATCH(($A84+2),$E$12:$E$21,1)))),$F$12) * (($B$9 * (($A84+2)/100)) + (($B$10 * (($A84+2)/100)^2) * $B$12)))</f>
        <v/>
      </c>
      <c r="E84" s="12" t="str">
        <f>IF(($A84+3)&gt;$B$11, "", IFERROR((INDEX($F$12:$F$21,MATCH(($A84+3),$E$12:$E$21,1))+(($A84+3)-INDEX($E$12:$E$21,MATCH(($A84+3),$E$12:$E$21,1)))*(IFERROR(INDEX($F$12:$F$21,MATCH(($A84+3),$E$12:$E$21,1)+1),INDEX($F$12:$F$21,MATCH(($A84+3),$E$12:$E$21,1)))-INDEX($F$12:$F$21,MATCH(($A84+3),$E$12:$E$21,1)))/IF((IFERROR(INDEX($E$12:$E$21,MATCH(($A84+3),$E$12:$E$21,1)+1),INDEX($E$12:$E$21,MATCH(($A84+3),$E$12:$E$21,1))+1)-INDEX($E$12:$E$21,MATCH(($A84+3),$E$12:$E$21,1)))=0,1,IFERROR(INDEX($E$12:$E$21,MATCH(($A84+3),$E$12:$E$21,1)+1),INDEX($E$12:$E$21,MATCH(($A84+3),$E$12:$E$21,1))+1)-INDEX($E$12:$E$21,MATCH(($A84+3),$E$12:$E$21,1)))),$F$12) * (($B$9 * (($A84+3)/100)) + (($B$10 * (($A84+3)/100)^2) * $B$12)))</f>
        <v/>
      </c>
      <c r="F84" s="12" t="str">
        <f>IF(($A84+4)&gt;$B$11, "", IFERROR((INDEX($F$12:$F$21,MATCH(($A84+4),$E$12:$E$21,1))+(($A84+4)-INDEX($E$12:$E$21,MATCH(($A84+4),$E$12:$E$21,1)))*(IFERROR(INDEX($F$12:$F$21,MATCH(($A84+4),$E$12:$E$21,1)+1),INDEX($F$12:$F$21,MATCH(($A84+4),$E$12:$E$21,1)))-INDEX($F$12:$F$21,MATCH(($A84+4),$E$12:$E$21,1)))/IF((IFERROR(INDEX($E$12:$E$21,MATCH(($A84+4),$E$12:$E$21,1)+1),INDEX($E$12:$E$21,MATCH(($A84+4),$E$12:$E$21,1))+1)-INDEX($E$12:$E$21,MATCH(($A84+4),$E$12:$E$21,1)))=0,1,IFERROR(INDEX($E$12:$E$21,MATCH(($A84+4),$E$12:$E$21,1)+1),INDEX($E$12:$E$21,MATCH(($A84+4),$E$12:$E$21,1))+1)-INDEX($E$12:$E$21,MATCH(($A84+4),$E$12:$E$21,1)))),$F$12) * (($B$9 * (($A84+4)/100)) + (($B$10 * (($A84+4)/100)^2) * $B$12)))</f>
        <v/>
      </c>
      <c r="G84" s="12" t="str">
        <f>IF(($A84+5)&gt;$B$11, "", IFERROR((INDEX($F$12:$F$21,MATCH(($A84+5),$E$12:$E$21,1))+(($A84+5)-INDEX($E$12:$E$21,MATCH(($A84+5),$E$12:$E$21,1)))*(IFERROR(INDEX($F$12:$F$21,MATCH(($A84+5),$E$12:$E$21,1)+1),INDEX($F$12:$F$21,MATCH(($A84+5),$E$12:$E$21,1)))-INDEX($F$12:$F$21,MATCH(($A84+5),$E$12:$E$21,1)))/IF((IFERROR(INDEX($E$12:$E$21,MATCH(($A84+5),$E$12:$E$21,1)+1),INDEX($E$12:$E$21,MATCH(($A84+5),$E$12:$E$21,1))+1)-INDEX($E$12:$E$21,MATCH(($A84+5),$E$12:$E$21,1)))=0,1,IFERROR(INDEX($E$12:$E$21,MATCH(($A84+5),$E$12:$E$21,1)+1),INDEX($E$12:$E$21,MATCH(($A84+5),$E$12:$E$21,1))+1)-INDEX($E$12:$E$21,MATCH(($A84+5),$E$12:$E$21,1)))),$F$12) * (($B$9 * (($A84+5)/100)) + (($B$10 * (($A84+5)/100)^2) * $B$12)))</f>
        <v/>
      </c>
      <c r="H84" s="12" t="str">
        <f>IF(($A84+6)&gt;$B$11, "", IFERROR((INDEX($F$12:$F$21,MATCH(($A84+6),$E$12:$E$21,1))+(($A84+6)-INDEX($E$12:$E$21,MATCH(($A84+6),$E$12:$E$21,1)))*(IFERROR(INDEX($F$12:$F$21,MATCH(($A84+6),$E$12:$E$21,1)+1),INDEX($F$12:$F$21,MATCH(($A84+6),$E$12:$E$21,1)))-INDEX($F$12:$F$21,MATCH(($A84+6),$E$12:$E$21,1)))/IF((IFERROR(INDEX($E$12:$E$21,MATCH(($A84+6),$E$12:$E$21,1)+1),INDEX($E$12:$E$21,MATCH(($A84+6),$E$12:$E$21,1))+1)-INDEX($E$12:$E$21,MATCH(($A84+6),$E$12:$E$21,1)))=0,1,IFERROR(INDEX($E$12:$E$21,MATCH(($A84+6),$E$12:$E$21,1)+1),INDEX($E$12:$E$21,MATCH(($A84+6),$E$12:$E$21,1))+1)-INDEX($E$12:$E$21,MATCH(($A84+6),$E$12:$E$21,1)))),$F$12) * (($B$9 * (($A84+6)/100)) + (($B$10 * (($A84+6)/100)^2) * $B$12)))</f>
        <v/>
      </c>
      <c r="I84" s="12" t="str">
        <f>IF(($A84+7)&gt;$B$11, "", IFERROR((INDEX($F$12:$F$21,MATCH(($A84+7),$E$12:$E$21,1))+(($A84+7)-INDEX($E$12:$E$21,MATCH(($A84+7),$E$12:$E$21,1)))*(IFERROR(INDEX($F$12:$F$21,MATCH(($A84+7),$E$12:$E$21,1)+1),INDEX($F$12:$F$21,MATCH(($A84+7),$E$12:$E$21,1)))-INDEX($F$12:$F$21,MATCH(($A84+7),$E$12:$E$21,1)))/IF((IFERROR(INDEX($E$12:$E$21,MATCH(($A84+7),$E$12:$E$21,1)+1),INDEX($E$12:$E$21,MATCH(($A84+7),$E$12:$E$21,1))+1)-INDEX($E$12:$E$21,MATCH(($A84+7),$E$12:$E$21,1)))=0,1,IFERROR(INDEX($E$12:$E$21,MATCH(($A84+7),$E$12:$E$21,1)+1),INDEX($E$12:$E$21,MATCH(($A84+7),$E$12:$E$21,1))+1)-INDEX($E$12:$E$21,MATCH(($A84+7),$E$12:$E$21,1)))),$F$12) * (($B$9 * (($A84+7)/100)) + (($B$10 * (($A84+7)/100)^2) * $B$12)))</f>
        <v/>
      </c>
      <c r="J84" s="12" t="str">
        <f>IF(($A84+8)&gt;$B$11, "", IFERROR((INDEX($F$12:$F$21,MATCH(($A84+8),$E$12:$E$21,1))+(($A84+8)-INDEX($E$12:$E$21,MATCH(($A84+8),$E$12:$E$21,1)))*(IFERROR(INDEX($F$12:$F$21,MATCH(($A84+8),$E$12:$E$21,1)+1),INDEX($F$12:$F$21,MATCH(($A84+8),$E$12:$E$21,1)))-INDEX($F$12:$F$21,MATCH(($A84+8),$E$12:$E$21,1)))/IF((IFERROR(INDEX($E$12:$E$21,MATCH(($A84+8),$E$12:$E$21,1)+1),INDEX($E$12:$E$21,MATCH(($A84+8),$E$12:$E$21,1))+1)-INDEX($E$12:$E$21,MATCH(($A84+8),$E$12:$E$21,1)))=0,1,IFERROR(INDEX($E$12:$E$21,MATCH(($A84+8),$E$12:$E$21,1)+1),INDEX($E$12:$E$21,MATCH(($A84+8),$E$12:$E$21,1))+1)-INDEX($E$12:$E$21,MATCH(($A84+8),$E$12:$E$21,1)))),$F$12) * (($B$9 * (($A84+8)/100)) + (($B$10 * (($A84+8)/100)^2) * $B$12)))</f>
        <v/>
      </c>
      <c r="K84" s="12" t="str">
        <f>IF(($A84+9)&gt;$B$11, "", IFERROR((INDEX($F$12:$F$21,MATCH(($A84+9),$E$12:$E$21,1))+(($A84+9)-INDEX($E$12:$E$21,MATCH(($A84+9),$E$12:$E$21,1)))*(IFERROR(INDEX($F$12:$F$21,MATCH(($A84+9),$E$12:$E$21,1)+1),INDEX($F$12:$F$21,MATCH(($A84+9),$E$12:$E$21,1)))-INDEX($F$12:$F$21,MATCH(($A84+9),$E$12:$E$21,1)))/IF((IFERROR(INDEX($E$12:$E$21,MATCH(($A84+9),$E$12:$E$21,1)+1),INDEX($E$12:$E$21,MATCH(($A84+9),$E$12:$E$21,1))+1)-INDEX($E$12:$E$21,MATCH(($A84+9),$E$12:$E$21,1)))=0,1,IFERROR(INDEX($E$12:$E$21,MATCH(($A84+9),$E$12:$E$21,1)+1),INDEX($E$12:$E$21,MATCH(($A84+9),$E$12:$E$21,1))+1)-INDEX($E$12:$E$21,MATCH(($A84+9),$E$12:$E$21,1)))),$F$12) * (($B$9 * (($A84+9)/100)) + (($B$10 * (($A84+9)/100)^2) * $B$12)))</f>
        <v/>
      </c>
    </row>
    <row r="85">
      <c r="A85" s="11">
        <v>490</v>
      </c>
      <c r="B85" s="12" t="str">
        <f>IF(($A85+0)&gt;$B$11, "", IFERROR((INDEX($F$12:$F$21,MATCH(($A85+0),$E$12:$E$21,1))+(($A85+0)-INDEX($E$12:$E$21,MATCH(($A85+0),$E$12:$E$21,1)))*(IFERROR(INDEX($F$12:$F$21,MATCH(($A85+0),$E$12:$E$21,1)+1),INDEX($F$12:$F$21,MATCH(($A85+0),$E$12:$E$21,1)))-INDEX($F$12:$F$21,MATCH(($A85+0),$E$12:$E$21,1)))/IF((IFERROR(INDEX($E$12:$E$21,MATCH(($A85+0),$E$12:$E$21,1)+1),INDEX($E$12:$E$21,MATCH(($A85+0),$E$12:$E$21,1))+1)-INDEX($E$12:$E$21,MATCH(($A85+0),$E$12:$E$21,1)))=0,1,IFERROR(INDEX($E$12:$E$21,MATCH(($A85+0),$E$12:$E$21,1)+1),INDEX($E$12:$E$21,MATCH(($A85+0),$E$12:$E$21,1))+1)-INDEX($E$12:$E$21,MATCH(($A85+0),$E$12:$E$21,1)))),$F$12) * (($B$9 * (($A85+0)/100)) + (($B$10 * (($A85+0)/100)^2) * $B$12)))</f>
        <v/>
      </c>
      <c r="C85" s="12" t="str">
        <f>IF(($A85+1)&gt;$B$11, "", IFERROR((INDEX($F$12:$F$21,MATCH(($A85+1),$E$12:$E$21,1))+(($A85+1)-INDEX($E$12:$E$21,MATCH(($A85+1),$E$12:$E$21,1)))*(IFERROR(INDEX($F$12:$F$21,MATCH(($A85+1),$E$12:$E$21,1)+1),INDEX($F$12:$F$21,MATCH(($A85+1),$E$12:$E$21,1)))-INDEX($F$12:$F$21,MATCH(($A85+1),$E$12:$E$21,1)))/IF((IFERROR(INDEX($E$12:$E$21,MATCH(($A85+1),$E$12:$E$21,1)+1),INDEX($E$12:$E$21,MATCH(($A85+1),$E$12:$E$21,1))+1)-INDEX($E$12:$E$21,MATCH(($A85+1),$E$12:$E$21,1)))=0,1,IFERROR(INDEX($E$12:$E$21,MATCH(($A85+1),$E$12:$E$21,1)+1),INDEX($E$12:$E$21,MATCH(($A85+1),$E$12:$E$21,1))+1)-INDEX($E$12:$E$21,MATCH(($A85+1),$E$12:$E$21,1)))),$F$12) * (($B$9 * (($A85+1)/100)) + (($B$10 * (($A85+1)/100)^2) * $B$12)))</f>
        <v/>
      </c>
      <c r="D85" s="12" t="str">
        <f>IF(($A85+2)&gt;$B$11, "", IFERROR((INDEX($F$12:$F$21,MATCH(($A85+2),$E$12:$E$21,1))+(($A85+2)-INDEX($E$12:$E$21,MATCH(($A85+2),$E$12:$E$21,1)))*(IFERROR(INDEX($F$12:$F$21,MATCH(($A85+2),$E$12:$E$21,1)+1),INDEX($F$12:$F$21,MATCH(($A85+2),$E$12:$E$21,1)))-INDEX($F$12:$F$21,MATCH(($A85+2),$E$12:$E$21,1)))/IF((IFERROR(INDEX($E$12:$E$21,MATCH(($A85+2),$E$12:$E$21,1)+1),INDEX($E$12:$E$21,MATCH(($A85+2),$E$12:$E$21,1))+1)-INDEX($E$12:$E$21,MATCH(($A85+2),$E$12:$E$21,1)))=0,1,IFERROR(INDEX($E$12:$E$21,MATCH(($A85+2),$E$12:$E$21,1)+1),INDEX($E$12:$E$21,MATCH(($A85+2),$E$12:$E$21,1))+1)-INDEX($E$12:$E$21,MATCH(($A85+2),$E$12:$E$21,1)))),$F$12) * (($B$9 * (($A85+2)/100)) + (($B$10 * (($A85+2)/100)^2) * $B$12)))</f>
        <v/>
      </c>
      <c r="E85" s="12" t="str">
        <f>IF(($A85+3)&gt;$B$11, "", IFERROR((INDEX($F$12:$F$21,MATCH(($A85+3),$E$12:$E$21,1))+(($A85+3)-INDEX($E$12:$E$21,MATCH(($A85+3),$E$12:$E$21,1)))*(IFERROR(INDEX($F$12:$F$21,MATCH(($A85+3),$E$12:$E$21,1)+1),INDEX($F$12:$F$21,MATCH(($A85+3),$E$12:$E$21,1)))-INDEX($F$12:$F$21,MATCH(($A85+3),$E$12:$E$21,1)))/IF((IFERROR(INDEX($E$12:$E$21,MATCH(($A85+3),$E$12:$E$21,1)+1),INDEX($E$12:$E$21,MATCH(($A85+3),$E$12:$E$21,1))+1)-INDEX($E$12:$E$21,MATCH(($A85+3),$E$12:$E$21,1)))=0,1,IFERROR(INDEX($E$12:$E$21,MATCH(($A85+3),$E$12:$E$21,1)+1),INDEX($E$12:$E$21,MATCH(($A85+3),$E$12:$E$21,1))+1)-INDEX($E$12:$E$21,MATCH(($A85+3),$E$12:$E$21,1)))),$F$12) * (($B$9 * (($A85+3)/100)) + (($B$10 * (($A85+3)/100)^2) * $B$12)))</f>
        <v/>
      </c>
      <c r="F85" s="12" t="str">
        <f>IF(($A85+4)&gt;$B$11, "", IFERROR((INDEX($F$12:$F$21,MATCH(($A85+4),$E$12:$E$21,1))+(($A85+4)-INDEX($E$12:$E$21,MATCH(($A85+4),$E$12:$E$21,1)))*(IFERROR(INDEX($F$12:$F$21,MATCH(($A85+4),$E$12:$E$21,1)+1),INDEX($F$12:$F$21,MATCH(($A85+4),$E$12:$E$21,1)))-INDEX($F$12:$F$21,MATCH(($A85+4),$E$12:$E$21,1)))/IF((IFERROR(INDEX($E$12:$E$21,MATCH(($A85+4),$E$12:$E$21,1)+1),INDEX($E$12:$E$21,MATCH(($A85+4),$E$12:$E$21,1))+1)-INDEX($E$12:$E$21,MATCH(($A85+4),$E$12:$E$21,1)))=0,1,IFERROR(INDEX($E$12:$E$21,MATCH(($A85+4),$E$12:$E$21,1)+1),INDEX($E$12:$E$21,MATCH(($A85+4),$E$12:$E$21,1))+1)-INDEX($E$12:$E$21,MATCH(($A85+4),$E$12:$E$21,1)))),$F$12) * (($B$9 * (($A85+4)/100)) + (($B$10 * (($A85+4)/100)^2) * $B$12)))</f>
        <v/>
      </c>
      <c r="G85" s="12" t="str">
        <f>IF(($A85+5)&gt;$B$11, "", IFERROR((INDEX($F$12:$F$21,MATCH(($A85+5),$E$12:$E$21,1))+(($A85+5)-INDEX($E$12:$E$21,MATCH(($A85+5),$E$12:$E$21,1)))*(IFERROR(INDEX($F$12:$F$21,MATCH(($A85+5),$E$12:$E$21,1)+1),INDEX($F$12:$F$21,MATCH(($A85+5),$E$12:$E$21,1)))-INDEX($F$12:$F$21,MATCH(($A85+5),$E$12:$E$21,1)))/IF((IFERROR(INDEX($E$12:$E$21,MATCH(($A85+5),$E$12:$E$21,1)+1),INDEX($E$12:$E$21,MATCH(($A85+5),$E$12:$E$21,1))+1)-INDEX($E$12:$E$21,MATCH(($A85+5),$E$12:$E$21,1)))=0,1,IFERROR(INDEX($E$12:$E$21,MATCH(($A85+5),$E$12:$E$21,1)+1),INDEX($E$12:$E$21,MATCH(($A85+5),$E$12:$E$21,1))+1)-INDEX($E$12:$E$21,MATCH(($A85+5),$E$12:$E$21,1)))),$F$12) * (($B$9 * (($A85+5)/100)) + (($B$10 * (($A85+5)/100)^2) * $B$12)))</f>
        <v/>
      </c>
      <c r="H85" s="12" t="str">
        <f>IF(($A85+6)&gt;$B$11, "", IFERROR((INDEX($F$12:$F$21,MATCH(($A85+6),$E$12:$E$21,1))+(($A85+6)-INDEX($E$12:$E$21,MATCH(($A85+6),$E$12:$E$21,1)))*(IFERROR(INDEX($F$12:$F$21,MATCH(($A85+6),$E$12:$E$21,1)+1),INDEX($F$12:$F$21,MATCH(($A85+6),$E$12:$E$21,1)))-INDEX($F$12:$F$21,MATCH(($A85+6),$E$12:$E$21,1)))/IF((IFERROR(INDEX($E$12:$E$21,MATCH(($A85+6),$E$12:$E$21,1)+1),INDEX($E$12:$E$21,MATCH(($A85+6),$E$12:$E$21,1))+1)-INDEX($E$12:$E$21,MATCH(($A85+6),$E$12:$E$21,1)))=0,1,IFERROR(INDEX($E$12:$E$21,MATCH(($A85+6),$E$12:$E$21,1)+1),INDEX($E$12:$E$21,MATCH(($A85+6),$E$12:$E$21,1))+1)-INDEX($E$12:$E$21,MATCH(($A85+6),$E$12:$E$21,1)))),$F$12) * (($B$9 * (($A85+6)/100)) + (($B$10 * (($A85+6)/100)^2) * $B$12)))</f>
        <v/>
      </c>
      <c r="I85" s="12" t="str">
        <f>IF(($A85+7)&gt;$B$11, "", IFERROR((INDEX($F$12:$F$21,MATCH(($A85+7),$E$12:$E$21,1))+(($A85+7)-INDEX($E$12:$E$21,MATCH(($A85+7),$E$12:$E$21,1)))*(IFERROR(INDEX($F$12:$F$21,MATCH(($A85+7),$E$12:$E$21,1)+1),INDEX($F$12:$F$21,MATCH(($A85+7),$E$12:$E$21,1)))-INDEX($F$12:$F$21,MATCH(($A85+7),$E$12:$E$21,1)))/IF((IFERROR(INDEX($E$12:$E$21,MATCH(($A85+7),$E$12:$E$21,1)+1),INDEX($E$12:$E$21,MATCH(($A85+7),$E$12:$E$21,1))+1)-INDEX($E$12:$E$21,MATCH(($A85+7),$E$12:$E$21,1)))=0,1,IFERROR(INDEX($E$12:$E$21,MATCH(($A85+7),$E$12:$E$21,1)+1),INDEX($E$12:$E$21,MATCH(($A85+7),$E$12:$E$21,1))+1)-INDEX($E$12:$E$21,MATCH(($A85+7),$E$12:$E$21,1)))),$F$12) * (($B$9 * (($A85+7)/100)) + (($B$10 * (($A85+7)/100)^2) * $B$12)))</f>
        <v/>
      </c>
      <c r="J85" s="12" t="str">
        <f>IF(($A85+8)&gt;$B$11, "", IFERROR((INDEX($F$12:$F$21,MATCH(($A85+8),$E$12:$E$21,1))+(($A85+8)-INDEX($E$12:$E$21,MATCH(($A85+8),$E$12:$E$21,1)))*(IFERROR(INDEX($F$12:$F$21,MATCH(($A85+8),$E$12:$E$21,1)+1),INDEX($F$12:$F$21,MATCH(($A85+8),$E$12:$E$21,1)))-INDEX($F$12:$F$21,MATCH(($A85+8),$E$12:$E$21,1)))/IF((IFERROR(INDEX($E$12:$E$21,MATCH(($A85+8),$E$12:$E$21,1)+1),INDEX($E$12:$E$21,MATCH(($A85+8),$E$12:$E$21,1))+1)-INDEX($E$12:$E$21,MATCH(($A85+8),$E$12:$E$21,1)))=0,1,IFERROR(INDEX($E$12:$E$21,MATCH(($A85+8),$E$12:$E$21,1)+1),INDEX($E$12:$E$21,MATCH(($A85+8),$E$12:$E$21,1))+1)-INDEX($E$12:$E$21,MATCH(($A85+8),$E$12:$E$21,1)))),$F$12) * (($B$9 * (($A85+8)/100)) + (($B$10 * (($A85+8)/100)^2) * $B$12)))</f>
        <v/>
      </c>
      <c r="K85" s="12" t="str">
        <f>IF(($A85+9)&gt;$B$11, "", IFERROR((INDEX($F$12:$F$21,MATCH(($A85+9),$E$12:$E$21,1))+(($A85+9)-INDEX($E$12:$E$21,MATCH(($A85+9),$E$12:$E$21,1)))*(IFERROR(INDEX($F$12:$F$21,MATCH(($A85+9),$E$12:$E$21,1)+1),INDEX($F$12:$F$21,MATCH(($A85+9),$E$12:$E$21,1)))-INDEX($F$12:$F$21,MATCH(($A85+9),$E$12:$E$21,1)))/IF((IFERROR(INDEX($E$12:$E$21,MATCH(($A85+9),$E$12:$E$21,1)+1),INDEX($E$12:$E$21,MATCH(($A85+9),$E$12:$E$21,1))+1)-INDEX($E$12:$E$21,MATCH(($A85+9),$E$12:$E$21,1)))=0,1,IFERROR(INDEX($E$12:$E$21,MATCH(($A85+9),$E$12:$E$21,1)+1),INDEX($E$12:$E$21,MATCH(($A85+9),$E$12:$E$21,1))+1)-INDEX($E$12:$E$21,MATCH(($A85+9),$E$12:$E$21,1)))),$F$12) * (($B$9 * (($A85+9)/100)) + (($B$10 * (($A85+9)/100)^2) * $B$12)))</f>
        <v/>
      </c>
    </row>
    <row r="86">
      <c r="A86" s="11">
        <v>500</v>
      </c>
      <c r="B86" s="12" t="str">
        <f>IF(($A86+0)&gt;$B$11, "", IFERROR((INDEX($F$12:$F$21,MATCH(($A86+0),$E$12:$E$21,1))+(($A86+0)-INDEX($E$12:$E$21,MATCH(($A86+0),$E$12:$E$21,1)))*(IFERROR(INDEX($F$12:$F$21,MATCH(($A86+0),$E$12:$E$21,1)+1),INDEX($F$12:$F$21,MATCH(($A86+0),$E$12:$E$21,1)))-INDEX($F$12:$F$21,MATCH(($A86+0),$E$12:$E$21,1)))/IF((IFERROR(INDEX($E$12:$E$21,MATCH(($A86+0),$E$12:$E$21,1)+1),INDEX($E$12:$E$21,MATCH(($A86+0),$E$12:$E$21,1))+1)-INDEX($E$12:$E$21,MATCH(($A86+0),$E$12:$E$21,1)))=0,1,IFERROR(INDEX($E$12:$E$21,MATCH(($A86+0),$E$12:$E$21,1)+1),INDEX($E$12:$E$21,MATCH(($A86+0),$E$12:$E$21,1))+1)-INDEX($E$12:$E$21,MATCH(($A86+0),$E$12:$E$21,1)))),$F$12) * (($B$9 * (($A86+0)/100)) + (($B$10 * (($A86+0)/100)^2) * $B$12)))</f>
        <v/>
      </c>
      <c r="C86" s="12" t="str">
        <f>IF(($A86+1)&gt;$B$11, "", IFERROR((INDEX($F$12:$F$21,MATCH(($A86+1),$E$12:$E$21,1))+(($A86+1)-INDEX($E$12:$E$21,MATCH(($A86+1),$E$12:$E$21,1)))*(IFERROR(INDEX($F$12:$F$21,MATCH(($A86+1),$E$12:$E$21,1)+1),INDEX($F$12:$F$21,MATCH(($A86+1),$E$12:$E$21,1)))-INDEX($F$12:$F$21,MATCH(($A86+1),$E$12:$E$21,1)))/IF((IFERROR(INDEX($E$12:$E$21,MATCH(($A86+1),$E$12:$E$21,1)+1),INDEX($E$12:$E$21,MATCH(($A86+1),$E$12:$E$21,1))+1)-INDEX($E$12:$E$21,MATCH(($A86+1),$E$12:$E$21,1)))=0,1,IFERROR(INDEX($E$12:$E$21,MATCH(($A86+1),$E$12:$E$21,1)+1),INDEX($E$12:$E$21,MATCH(($A86+1),$E$12:$E$21,1))+1)-INDEX($E$12:$E$21,MATCH(($A86+1),$E$12:$E$21,1)))),$F$12) * (($B$9 * (($A86+1)/100)) + (($B$10 * (($A86+1)/100)^2) * $B$12)))</f>
        <v/>
      </c>
      <c r="D86" s="12" t="str">
        <f>IF(($A86+2)&gt;$B$11, "", IFERROR((INDEX($F$12:$F$21,MATCH(($A86+2),$E$12:$E$21,1))+(($A86+2)-INDEX($E$12:$E$21,MATCH(($A86+2),$E$12:$E$21,1)))*(IFERROR(INDEX($F$12:$F$21,MATCH(($A86+2),$E$12:$E$21,1)+1),INDEX($F$12:$F$21,MATCH(($A86+2),$E$12:$E$21,1)))-INDEX($F$12:$F$21,MATCH(($A86+2),$E$12:$E$21,1)))/IF((IFERROR(INDEX($E$12:$E$21,MATCH(($A86+2),$E$12:$E$21,1)+1),INDEX($E$12:$E$21,MATCH(($A86+2),$E$12:$E$21,1))+1)-INDEX($E$12:$E$21,MATCH(($A86+2),$E$12:$E$21,1)))=0,1,IFERROR(INDEX($E$12:$E$21,MATCH(($A86+2),$E$12:$E$21,1)+1),INDEX($E$12:$E$21,MATCH(($A86+2),$E$12:$E$21,1))+1)-INDEX($E$12:$E$21,MATCH(($A86+2),$E$12:$E$21,1)))),$F$12) * (($B$9 * (($A86+2)/100)) + (($B$10 * (($A86+2)/100)^2) * $B$12)))</f>
        <v/>
      </c>
      <c r="E86" s="12" t="str">
        <f>IF(($A86+3)&gt;$B$11, "", IFERROR((INDEX($F$12:$F$21,MATCH(($A86+3),$E$12:$E$21,1))+(($A86+3)-INDEX($E$12:$E$21,MATCH(($A86+3),$E$12:$E$21,1)))*(IFERROR(INDEX($F$12:$F$21,MATCH(($A86+3),$E$12:$E$21,1)+1),INDEX($F$12:$F$21,MATCH(($A86+3),$E$12:$E$21,1)))-INDEX($F$12:$F$21,MATCH(($A86+3),$E$12:$E$21,1)))/IF((IFERROR(INDEX($E$12:$E$21,MATCH(($A86+3),$E$12:$E$21,1)+1),INDEX($E$12:$E$21,MATCH(($A86+3),$E$12:$E$21,1))+1)-INDEX($E$12:$E$21,MATCH(($A86+3),$E$12:$E$21,1)))=0,1,IFERROR(INDEX($E$12:$E$21,MATCH(($A86+3),$E$12:$E$21,1)+1),INDEX($E$12:$E$21,MATCH(($A86+3),$E$12:$E$21,1))+1)-INDEX($E$12:$E$21,MATCH(($A86+3),$E$12:$E$21,1)))),$F$12) * (($B$9 * (($A86+3)/100)) + (($B$10 * (($A86+3)/100)^2) * $B$12)))</f>
        <v/>
      </c>
      <c r="F86" s="12" t="str">
        <f>IF(($A86+4)&gt;$B$11, "", IFERROR((INDEX($F$12:$F$21,MATCH(($A86+4),$E$12:$E$21,1))+(($A86+4)-INDEX($E$12:$E$21,MATCH(($A86+4),$E$12:$E$21,1)))*(IFERROR(INDEX($F$12:$F$21,MATCH(($A86+4),$E$12:$E$21,1)+1),INDEX($F$12:$F$21,MATCH(($A86+4),$E$12:$E$21,1)))-INDEX($F$12:$F$21,MATCH(($A86+4),$E$12:$E$21,1)))/IF((IFERROR(INDEX($E$12:$E$21,MATCH(($A86+4),$E$12:$E$21,1)+1),INDEX($E$12:$E$21,MATCH(($A86+4),$E$12:$E$21,1))+1)-INDEX($E$12:$E$21,MATCH(($A86+4),$E$12:$E$21,1)))=0,1,IFERROR(INDEX($E$12:$E$21,MATCH(($A86+4),$E$12:$E$21,1)+1),INDEX($E$12:$E$21,MATCH(($A86+4),$E$12:$E$21,1))+1)-INDEX($E$12:$E$21,MATCH(($A86+4),$E$12:$E$21,1)))),$F$12) * (($B$9 * (($A86+4)/100)) + (($B$10 * (($A86+4)/100)^2) * $B$12)))</f>
        <v/>
      </c>
      <c r="G86" s="12" t="str">
        <f>IF(($A86+5)&gt;$B$11, "", IFERROR((INDEX($F$12:$F$21,MATCH(($A86+5),$E$12:$E$21,1))+(($A86+5)-INDEX($E$12:$E$21,MATCH(($A86+5),$E$12:$E$21,1)))*(IFERROR(INDEX($F$12:$F$21,MATCH(($A86+5),$E$12:$E$21,1)+1),INDEX($F$12:$F$21,MATCH(($A86+5),$E$12:$E$21,1)))-INDEX($F$12:$F$21,MATCH(($A86+5),$E$12:$E$21,1)))/IF((IFERROR(INDEX($E$12:$E$21,MATCH(($A86+5),$E$12:$E$21,1)+1),INDEX($E$12:$E$21,MATCH(($A86+5),$E$12:$E$21,1))+1)-INDEX($E$12:$E$21,MATCH(($A86+5),$E$12:$E$21,1)))=0,1,IFERROR(INDEX($E$12:$E$21,MATCH(($A86+5),$E$12:$E$21,1)+1),INDEX($E$12:$E$21,MATCH(($A86+5),$E$12:$E$21,1))+1)-INDEX($E$12:$E$21,MATCH(($A86+5),$E$12:$E$21,1)))),$F$12) * (($B$9 * (($A86+5)/100)) + (($B$10 * (($A86+5)/100)^2) * $B$12)))</f>
        <v/>
      </c>
      <c r="H86" s="12" t="str">
        <f>IF(($A86+6)&gt;$B$11, "", IFERROR((INDEX($F$12:$F$21,MATCH(($A86+6),$E$12:$E$21,1))+(($A86+6)-INDEX($E$12:$E$21,MATCH(($A86+6),$E$12:$E$21,1)))*(IFERROR(INDEX($F$12:$F$21,MATCH(($A86+6),$E$12:$E$21,1)+1),INDEX($F$12:$F$21,MATCH(($A86+6),$E$12:$E$21,1)))-INDEX($F$12:$F$21,MATCH(($A86+6),$E$12:$E$21,1)))/IF((IFERROR(INDEX($E$12:$E$21,MATCH(($A86+6),$E$12:$E$21,1)+1),INDEX($E$12:$E$21,MATCH(($A86+6),$E$12:$E$21,1))+1)-INDEX($E$12:$E$21,MATCH(($A86+6),$E$12:$E$21,1)))=0,1,IFERROR(INDEX($E$12:$E$21,MATCH(($A86+6),$E$12:$E$21,1)+1),INDEX($E$12:$E$21,MATCH(($A86+6),$E$12:$E$21,1))+1)-INDEX($E$12:$E$21,MATCH(($A86+6),$E$12:$E$21,1)))),$F$12) * (($B$9 * (($A86+6)/100)) + (($B$10 * (($A86+6)/100)^2) * $B$12)))</f>
        <v/>
      </c>
      <c r="I86" s="12" t="str">
        <f>IF(($A86+7)&gt;$B$11, "", IFERROR((INDEX($F$12:$F$21,MATCH(($A86+7),$E$12:$E$21,1))+(($A86+7)-INDEX($E$12:$E$21,MATCH(($A86+7),$E$12:$E$21,1)))*(IFERROR(INDEX($F$12:$F$21,MATCH(($A86+7),$E$12:$E$21,1)+1),INDEX($F$12:$F$21,MATCH(($A86+7),$E$12:$E$21,1)))-INDEX($F$12:$F$21,MATCH(($A86+7),$E$12:$E$21,1)))/IF((IFERROR(INDEX($E$12:$E$21,MATCH(($A86+7),$E$12:$E$21,1)+1),INDEX($E$12:$E$21,MATCH(($A86+7),$E$12:$E$21,1))+1)-INDEX($E$12:$E$21,MATCH(($A86+7),$E$12:$E$21,1)))=0,1,IFERROR(INDEX($E$12:$E$21,MATCH(($A86+7),$E$12:$E$21,1)+1),INDEX($E$12:$E$21,MATCH(($A86+7),$E$12:$E$21,1))+1)-INDEX($E$12:$E$21,MATCH(($A86+7),$E$12:$E$21,1)))),$F$12) * (($B$9 * (($A86+7)/100)) + (($B$10 * (($A86+7)/100)^2) * $B$12)))</f>
        <v/>
      </c>
      <c r="J86" s="12" t="str">
        <f>IF(($A86+8)&gt;$B$11, "", IFERROR((INDEX($F$12:$F$21,MATCH(($A86+8),$E$12:$E$21,1))+(($A86+8)-INDEX($E$12:$E$21,MATCH(($A86+8),$E$12:$E$21,1)))*(IFERROR(INDEX($F$12:$F$21,MATCH(($A86+8),$E$12:$E$21,1)+1),INDEX($F$12:$F$21,MATCH(($A86+8),$E$12:$E$21,1)))-INDEX($F$12:$F$21,MATCH(($A86+8),$E$12:$E$21,1)))/IF((IFERROR(INDEX($E$12:$E$21,MATCH(($A86+8),$E$12:$E$21,1)+1),INDEX($E$12:$E$21,MATCH(($A86+8),$E$12:$E$21,1))+1)-INDEX($E$12:$E$21,MATCH(($A86+8),$E$12:$E$21,1)))=0,1,IFERROR(INDEX($E$12:$E$21,MATCH(($A86+8),$E$12:$E$21,1)+1),INDEX($E$12:$E$21,MATCH(($A86+8),$E$12:$E$21,1))+1)-INDEX($E$12:$E$21,MATCH(($A86+8),$E$12:$E$21,1)))),$F$12) * (($B$9 * (($A86+8)/100)) + (($B$10 * (($A86+8)/100)^2) * $B$12)))</f>
        <v/>
      </c>
      <c r="K86" s="12" t="str">
        <f>IF(($A86+9)&gt;$B$11, "", IFERROR((INDEX($F$12:$F$21,MATCH(($A86+9),$E$12:$E$21,1))+(($A86+9)-INDEX($E$12:$E$21,MATCH(($A86+9),$E$12:$E$21,1)))*(IFERROR(INDEX($F$12:$F$21,MATCH(($A86+9),$E$12:$E$21,1)+1),INDEX($F$12:$F$21,MATCH(($A86+9),$E$12:$E$21,1)))-INDEX($F$12:$F$21,MATCH(($A86+9),$E$12:$E$21,1)))/IF((IFERROR(INDEX($E$12:$E$21,MATCH(($A86+9),$E$12:$E$21,1)+1),INDEX($E$12:$E$21,MATCH(($A86+9),$E$12:$E$21,1))+1)-INDEX($E$12:$E$21,MATCH(($A86+9),$E$12:$E$21,1)))=0,1,IFERROR(INDEX($E$12:$E$21,MATCH(($A86+9),$E$12:$E$21,1)+1),INDEX($E$12:$E$21,MATCH(($A86+9),$E$12:$E$21,1))+1)-INDEX($E$12:$E$21,MATCH(($A86+9),$E$12:$E$21,1)))),$F$12) * (($B$9 * (($A86+9)/100)) + (($B$10 * (($A86+9)/100)^2) * $B$12)))</f>
        <v/>
      </c>
    </row>
    <row r="88" ht="15">
      <c r="A88" s="10" t="s">
        <v>31</v>
      </c>
    </row>
    <row r="89">
      <c r="A89" s="8" t="s">
        <v>0</v>
      </c>
      <c r="B89" s="8">
        <v>0</v>
      </c>
      <c r="C89" s="8">
        <v>1</v>
      </c>
      <c r="D89" s="8">
        <v>2</v>
      </c>
      <c r="E89" s="8">
        <v>3</v>
      </c>
      <c r="F89" s="8">
        <v>4</v>
      </c>
      <c r="G89" s="8">
        <v>5</v>
      </c>
      <c r="H89" s="8">
        <v>6</v>
      </c>
      <c r="I89" s="8">
        <v>7</v>
      </c>
      <c r="J89" s="8">
        <v>8</v>
      </c>
      <c r="K89" s="8">
        <v>9</v>
      </c>
    </row>
    <row r="90">
      <c r="A90" s="11">
        <v>0</v>
      </c>
      <c r="B90" s="12">
        <f>IF(($A90+0)&gt;$B$11, "", IF(IF(($B$9+2*(($A90+0)/100)*SQRT(1+$B$10^2))&gt;0,(($B$9 * (($A90+0)/100))+($B$10 * (($A90+0)/100)^2))/($B$9+2*(($A90+0)/100)*SQRT(1+$B$10^2)),0)&gt;0,(1/$B$17)*(IF(($B$9+2*(($A90+0)/100)*SQRT(1+$B$10^2))&gt;0,(($B$9 * (($A90+0)/100))+($B$10 * (($A90+0)/100)^2))/($B$9+2*(($A90+0)/100)*SQRT(1+$B$10^2)),0)^(2/3))*SQRT($B$16),0) * (($B$9 * (($A90+0)/100)) + (($B$10 * (($A90+0)/100)^2) * $B$19)))</f>
        <v>0</v>
      </c>
      <c r="C90" s="12">
        <f>IF(($A90+1)&gt;$B$11, "", IF(IF(($B$9+2*(($A90+1)/100)*SQRT(1+$B$10^2))&gt;0,(($B$9 * (($A90+1)/100))+($B$10 * (($A90+1)/100)^2))/($B$9+2*(($A90+1)/100)*SQRT(1+$B$10^2)),0)&gt;0,(1/$B$17)*(IF(($B$9+2*(($A90+1)/100)*SQRT(1+$B$10^2))&gt;0,(($B$9 * (($A90+1)/100))+($B$10 * (($A90+1)/100)^2))/($B$9+2*(($A90+1)/100)*SQRT(1+$B$10^2)),0)^(2/3))*SQRT($B$16),0) * (($B$9 * (($A90+1)/100)) + (($B$10 * (($A90+1)/100)^2) * $B$19)))</f>
        <v>2.579073152897976E-3</v>
      </c>
      <c r="D90" s="12">
        <f>IF(($A90+2)&gt;$B$11, "", IF(IF(($B$9+2*(($A90+2)/100)*SQRT(1+$B$10^2))&gt;0,(($B$9 * (($A90+2)/100))+($B$10 * (($A90+2)/100)^2))/($B$9+2*(($A90+2)/100)*SQRT(1+$B$10^2)),0)&gt;0,(1/$B$17)*(IF(($B$9+2*(($A90+2)/100)*SQRT(1+$B$10^2))&gt;0,(($B$9 * (($A90+2)/100))+($B$10 * (($A90+2)/100)^2))/($B$9+2*(($A90+2)/100)*SQRT(1+$B$10^2)),0)^(2/3))*SQRT($B$16),0) * (($B$9 * (($A90+2)/100)) + (($B$10 * (($A90+2)/100)^2) * $B$19)))</f>
        <v>8.187294509099212E-3</v>
      </c>
      <c r="E90" s="12">
        <f>IF(($A90+3)&gt;$B$11, "", IF(IF(($B$9+2*(($A90+3)/100)*SQRT(1+$B$10^2))&gt;0,(($B$9 * (($A90+3)/100))+($B$10 * (($A90+3)/100)^2))/($B$9+2*(($A90+3)/100)*SQRT(1+$B$10^2)),0)&gt;0,(1/$B$17)*(IF(($B$9+2*(($A90+3)/100)*SQRT(1+$B$10^2))&gt;0,(($B$9 * (($A90+3)/100))+($B$10 * (($A90+3)/100)^2))/($B$9+2*(($A90+3)/100)*SQRT(1+$B$10^2)),0)^(2/3))*SQRT($B$16),0) * (($B$9 * (($A90+3)/100)) + (($B$10 * (($A90+3)/100)^2) * $B$19)))</f>
        <v>1.6091171649037353E-2</v>
      </c>
      <c r="F90" s="12">
        <f>IF(($A90+4)&gt;$B$11, "", IF(IF(($B$9+2*(($A90+4)/100)*SQRT(1+$B$10^2))&gt;0,(($B$9 * (($A90+4)/100))+($B$10 * (($A90+4)/100)^2))/($B$9+2*(($A90+4)/100)*SQRT(1+$B$10^2)),0)&gt;0,(1/$B$17)*(IF(($B$9+2*(($A90+4)/100)*SQRT(1+$B$10^2))&gt;0,(($B$9 * (($A90+4)/100))+($B$10 * (($A90+4)/100)^2))/($B$9+2*(($A90+4)/100)*SQRT(1+$B$10^2)),0)^(2/3))*SQRT($B$16),0) * (($B$9 * (($A90+4)/100)) + (($B$10 * (($A90+4)/100)^2) * $B$19)))</f>
        <v>2.5988573029305732E-2</v>
      </c>
      <c r="G90" s="12">
        <f>IF(($A90+5)&gt;$B$11, "", IF(IF(($B$9+2*(($A90+5)/100)*SQRT(1+$B$10^2))&gt;0,(($B$9 * (($A90+5)/100))+($B$10 * (($A90+5)/100)^2))/($B$9+2*(($A90+5)/100)*SQRT(1+$B$10^2)),0)&gt;0,(1/$B$17)*(IF(($B$9+2*(($A90+5)/100)*SQRT(1+$B$10^2))&gt;0,(($B$9 * (($A90+5)/100))+($B$10 * (($A90+5)/100)^2))/($B$9+2*(($A90+5)/100)*SQRT(1+$B$10^2)),0)^(2/3))*SQRT($B$16),0) * (($B$9 * (($A90+5)/100)) + (($B$10 * (($A90+5)/100)^2) * $B$19)))</f>
        <v>3.7693317517779865E-2</v>
      </c>
      <c r="H90" s="12">
        <f>IF(($A90+6)&gt;$B$11, "", IF(IF(($B$9+2*(($A90+6)/100)*SQRT(1+$B$10^2))&gt;0,(($B$9 * (($A90+6)/100))+($B$10 * (($A90+6)/100)^2))/($B$9+2*(($A90+6)/100)*SQRT(1+$B$10^2)),0)&gt;0,(1/$B$17)*(IF(($B$9+2*(($A90+6)/100)*SQRT(1+$B$10^2))&gt;0,(($B$9 * (($A90+6)/100))+($B$10 * (($A90+6)/100)^2))/($B$9+2*(($A90+6)/100)*SQRT(1+$B$10^2)),0)^(2/3))*SQRT($B$16),0) * (($B$9 * (($A90+6)/100)) + (($B$10 * (($A90+6)/100)^2) * $B$19)))</f>
        <v>5.1074019074983976E-2</v>
      </c>
      <c r="I90" s="12">
        <f>IF(($A90+7)&gt;$B$11, "", IF(IF(($B$9+2*(($A90+7)/100)*SQRT(1+$B$10^2))&gt;0,(($B$9 * (($A90+7)/100))+($B$10 * (($A90+7)/100)^2))/($B$9+2*(($A90+7)/100)*SQRT(1+$B$10^2)),0)&gt;0,(1/$B$17)*(IF(($B$9+2*(($A90+7)/100)*SQRT(1+$B$10^2))&gt;0,(($B$9 * (($A90+7)/100))+($B$10 * (($A90+7)/100)^2))/($B$9+2*(($A90+7)/100)*SQRT(1+$B$10^2)),0)^(2/3))*SQRT($B$16),0) * (($B$9 * (($A90+7)/100)) + (($B$10 * (($A90+7)/100)^2) * $B$19)))</f>
        <v>6.603080909351786E-2</v>
      </c>
      <c r="J90" s="12">
        <f>IF(($A90+8)&gt;$B$11, "", IF(IF(($B$9+2*(($A90+8)/100)*SQRT(1+$B$10^2))&gt;0,(($B$9 * (($A90+8)/100))+($B$10 * (($A90+8)/100)^2))/($B$9+2*(($A90+8)/100)*SQRT(1+$B$10^2)),0)&gt;0,(1/$B$17)*(IF(($B$9+2*(($A90+8)/100)*SQRT(1+$B$10^2))&gt;0,(($B$9 * (($A90+8)/100))+($B$10 * (($A90+8)/100)^2))/($B$9+2*(($A90+8)/100)*SQRT(1+$B$10^2)),0)^(2/3))*SQRT($B$16),0) * (($B$9 * (($A90+8)/100)) + (($B$10 * (($A90+8)/100)^2) * $B$19)))</f>
        <v>8.24840782386837E-2</v>
      </c>
      <c r="K90" s="12">
        <f>IF(($A90+9)&gt;$B$11, "", IF(IF(($B$9+2*(($A90+9)/100)*SQRT(1+$B$10^2))&gt;0,(($B$9 * (($A90+9)/100))+($B$10 * (($A90+9)/100)^2))/($B$9+2*(($A90+9)/100)*SQRT(1+$B$10^2)),0)&gt;0,(1/$B$17)*(IF(($B$9+2*(($A90+9)/100)*SQRT(1+$B$10^2))&gt;0,(($B$9 * (($A90+9)/100))+($B$10 * (($A90+9)/100)^2))/($B$9+2*(($A90+9)/100)*SQRT(1+$B$10^2)),0)^(2/3))*SQRT($B$16),0) * (($B$9 * (($A90+9)/100)) + (($B$10 * (($A90+9)/100)^2) * $B$19)))</f>
        <v>0.1003682235812884</v>
      </c>
    </row>
    <row r="91">
      <c r="A91" s="11">
        <v>10</v>
      </c>
      <c r="B91" s="12">
        <f>IF(($A91+0)&gt;$B$11, "", IF(IF(($B$9+2*(($A91+0)/100)*SQRT(1+$B$10^2))&gt;0,(($B$9 * (($A91+0)/100))+($B$10 * (($A91+0)/100)^2))/($B$9+2*(($A91+0)/100)*SQRT(1+$B$10^2)),0)&gt;0,(1/$B$17)*(IF(($B$9+2*(($A91+0)/100)*SQRT(1+$B$10^2))&gt;0,(($B$9 * (($A91+0)/100))+($B$10 * (($A91+0)/100)^2))/($B$9+2*(($A91+0)/100)*SQRT(1+$B$10^2)),0)^(2/3))*SQRT($B$16),0) * (($B$9 * (($A91+0)/100)) + (($B$10 * (($A91+0)/100)^2) * $B$19)))</f>
        <v>0.11962784043707501</v>
      </c>
      <c r="C91" s="12">
        <f>IF(($A91+1)&gt;$B$11, "", IF(IF(($B$9+2*(($A91+1)/100)*SQRT(1+$B$10^2))&gt;0,(($B$9 * (($A91+1)/100))+($B$10 * (($A91+1)/100)^2))/($B$9+2*(($A91+1)/100)*SQRT(1+$B$10^2)),0)&gt;0,(1/$B$17)*(IF(($B$9+2*(($A91+1)/100)*SQRT(1+$B$10^2))&gt;0,(($B$9 * (($A91+1)/100))+($B$10 * (($A91+1)/100)^2))/($B$9+2*(($A91+1)/100)*SQRT(1+$B$10^2)),0)^(2/3))*SQRT($B$16),0) * (($B$9 * (($A91+1)/100)) + (($B$10 * (($A91+1)/100)^2) * $B$19)))</f>
        <v>0.1402152438857354</v>
      </c>
      <c r="D91" s="12">
        <f>IF(($A91+2)&gt;$B$11, "", IF(IF(($B$9+2*(($A91+2)/100)*SQRT(1+$B$10^2))&gt;0,(($B$9 * (($A91+2)/100))+($B$10 * (($A91+2)/100)^2))/($B$9+2*(($A91+2)/100)*SQRT(1+$B$10^2)),0)&gt;0,(1/$B$17)*(IF(($B$9+2*(($A91+2)/100)*SQRT(1+$B$10^2))&gt;0,(($B$9 * (($A91+2)/100))+($B$10 * (($A91+2)/100)^2))/($B$9+2*(($A91+2)/100)*SQRT(1+$B$10^2)),0)^(2/3))*SQRT($B$16),0) * (($B$9 * (($A91+2)/100)) + (($B$10 * (($A91+2)/100)^2) * $B$19)))</f>
        <v>0.16208877241574013</v>
      </c>
      <c r="E91" s="12">
        <f>IF(($A91+3)&gt;$B$11, "", IF(IF(($B$9+2*(($A91+3)/100)*SQRT(1+$B$10^2))&gt;0,(($B$9 * (($A91+3)/100))+($B$10 * (($A91+3)/100)^2))/($B$9+2*(($A91+3)/100)*SQRT(1+$B$10^2)),0)&gt;0,(1/$B$17)*(IF(($B$9+2*(($A91+3)/100)*SQRT(1+$B$10^2))&gt;0,(($B$9 * (($A91+3)/100))+($B$10 * (($A91+3)/100)^2))/($B$9+2*(($A91+3)/100)*SQRT(1+$B$10^2)),0)^(2/3))*SQRT($B$16),0) * (($B$9 * (($A91+3)/100)) + (($B$10 * (($A91+3)/100)^2) * $B$19)))</f>
        <v>0.18521158000868032</v>
      </c>
      <c r="F91" s="12">
        <f>IF(($A91+4)&gt;$B$11, "", IF(IF(($B$9+2*(($A91+4)/100)*SQRT(1+$B$10^2))&gt;0,(($B$9 * (($A91+4)/100))+($B$10 * (($A91+4)/100)^2))/($B$9+2*(($A91+4)/100)*SQRT(1+$B$10^2)),0)&gt;0,(1/$B$17)*(IF(($B$9+2*(($A91+4)/100)*SQRT(1+$B$10^2))&gt;0,(($B$9 * (($A91+4)/100))+($B$10 * (($A91+4)/100)^2))/($B$9+2*(($A91+4)/100)*SQRT(1+$B$10^2)),0)^(2/3))*SQRT($B$16),0) * (($B$9 * (($A91+4)/100)) + (($B$10 * (($A91+4)/100)^2) * $B$19)))</f>
        <v>0.20955074806709795</v>
      </c>
      <c r="G91" s="12">
        <f>IF(($A91+5)&gt;$B$11, "", IF(IF(($B$9+2*(($A91+5)/100)*SQRT(1+$B$10^2))&gt;0,(($B$9 * (($A91+5)/100))+($B$10 * (($A91+5)/100)^2))/($B$9+2*(($A91+5)/100)*SQRT(1+$B$10^2)),0)&gt;0,(1/$B$17)*(IF(($B$9+2*(($A91+5)/100)*SQRT(1+$B$10^2))&gt;0,(($B$9 * (($A91+5)/100))+($B$10 * (($A91+5)/100)^2))/($B$9+2*(($A91+5)/100)*SQRT(1+$B$10^2)),0)^(2/3))*SQRT($B$16),0) * (($B$9 * (($A91+5)/100)) + (($B$10 * (($A91+5)/100)^2) * $B$19)))</f>
        <v>0.23507661501683724</v>
      </c>
      <c r="H91" s="12" t="str">
        <f>IF(($A91+6)&gt;$B$11, "", IF(IF(($B$9+2*(($A91+6)/100)*SQRT(1+$B$10^2))&gt;0,(($B$9 * (($A91+6)/100))+($B$10 * (($A91+6)/100)^2))/($B$9+2*(($A91+6)/100)*SQRT(1+$B$10^2)),0)&gt;0,(1/$B$17)*(IF(($B$9+2*(($A91+6)/100)*SQRT(1+$B$10^2))&gt;0,(($B$9 * (($A91+6)/100))+($B$10 * (($A91+6)/100)^2))/($B$9+2*(($A91+6)/100)*SQRT(1+$B$10^2)),0)^(2/3))*SQRT($B$16),0) * (($B$9 * (($A91+6)/100)) + (($B$10 * (($A91+6)/100)^2) * $B$19)))</f>
        <v/>
      </c>
      <c r="I91" s="12" t="str">
        <f>IF(($A91+7)&gt;$B$11, "", IF(IF(($B$9+2*(($A91+7)/100)*SQRT(1+$B$10^2))&gt;0,(($B$9 * (($A91+7)/100))+($B$10 * (($A91+7)/100)^2))/($B$9+2*(($A91+7)/100)*SQRT(1+$B$10^2)),0)&gt;0,(1/$B$17)*(IF(($B$9+2*(($A91+7)/100)*SQRT(1+$B$10^2))&gt;0,(($B$9 * (($A91+7)/100))+($B$10 * (($A91+7)/100)^2))/($B$9+2*(($A91+7)/100)*SQRT(1+$B$10^2)),0)^(2/3))*SQRT($B$16),0) * (($B$9 * (($A91+7)/100)) + (($B$10 * (($A91+7)/100)^2) * $B$19)))</f>
        <v/>
      </c>
      <c r="J91" s="12" t="str">
        <f>IF(($A91+8)&gt;$B$11, "", IF(IF(($B$9+2*(($A91+8)/100)*SQRT(1+$B$10^2))&gt;0,(($B$9 * (($A91+8)/100))+($B$10 * (($A91+8)/100)^2))/($B$9+2*(($A91+8)/100)*SQRT(1+$B$10^2)),0)&gt;0,(1/$B$17)*(IF(($B$9+2*(($A91+8)/100)*SQRT(1+$B$10^2))&gt;0,(($B$9 * (($A91+8)/100))+($B$10 * (($A91+8)/100)^2))/($B$9+2*(($A91+8)/100)*SQRT(1+$B$10^2)),0)^(2/3))*SQRT($B$16),0) * (($B$9 * (($A91+8)/100)) + (($B$10 * (($A91+8)/100)^2) * $B$19)))</f>
        <v/>
      </c>
      <c r="K91" s="12" t="str">
        <f>IF(($A91+9)&gt;$B$11, "", IF(IF(($B$9+2*(($A91+9)/100)*SQRT(1+$B$10^2))&gt;0,(($B$9 * (($A91+9)/100))+($B$10 * (($A91+9)/100)^2))/($B$9+2*(($A91+9)/100)*SQRT(1+$B$10^2)),0)&gt;0,(1/$B$17)*(IF(($B$9+2*(($A91+9)/100)*SQRT(1+$B$10^2))&gt;0,(($B$9 * (($A91+9)/100))+($B$10 * (($A91+9)/100)^2))/($B$9+2*(($A91+9)/100)*SQRT(1+$B$10^2)),0)^(2/3))*SQRT($B$16),0) * (($B$9 * (($A91+9)/100)) + (($B$10 * (($A91+9)/100)^2) * $B$19)))</f>
        <v/>
      </c>
    </row>
    <row r="92">
      <c r="A92" s="11">
        <v>20</v>
      </c>
      <c r="B92" s="12" t="str">
        <f>IF(($A92+0)&gt;$B$11, "", IF(IF(($B$9+2*(($A92+0)/100)*SQRT(1+$B$10^2))&gt;0,(($B$9 * (($A92+0)/100))+($B$10 * (($A92+0)/100)^2))/($B$9+2*(($A92+0)/100)*SQRT(1+$B$10^2)),0)&gt;0,(1/$B$17)*(IF(($B$9+2*(($A92+0)/100)*SQRT(1+$B$10^2))&gt;0,(($B$9 * (($A92+0)/100))+($B$10 * (($A92+0)/100)^2))/($B$9+2*(($A92+0)/100)*SQRT(1+$B$10^2)),0)^(2/3))*SQRT($B$16),0) * (($B$9 * (($A92+0)/100)) + (($B$10 * (($A92+0)/100)^2) * $B$19)))</f>
        <v/>
      </c>
      <c r="C92" s="12" t="str">
        <f>IF(($A92+1)&gt;$B$11, "", IF(IF(($B$9+2*(($A92+1)/100)*SQRT(1+$B$10^2))&gt;0,(($B$9 * (($A92+1)/100))+($B$10 * (($A92+1)/100)^2))/($B$9+2*(($A92+1)/100)*SQRT(1+$B$10^2)),0)&gt;0,(1/$B$17)*(IF(($B$9+2*(($A92+1)/100)*SQRT(1+$B$10^2))&gt;0,(($B$9 * (($A92+1)/100))+($B$10 * (($A92+1)/100)^2))/($B$9+2*(($A92+1)/100)*SQRT(1+$B$10^2)),0)^(2/3))*SQRT($B$16),0) * (($B$9 * (($A92+1)/100)) + (($B$10 * (($A92+1)/100)^2) * $B$19)))</f>
        <v/>
      </c>
      <c r="D92" s="12" t="str">
        <f>IF(($A92+2)&gt;$B$11, "", IF(IF(($B$9+2*(($A92+2)/100)*SQRT(1+$B$10^2))&gt;0,(($B$9 * (($A92+2)/100))+($B$10 * (($A92+2)/100)^2))/($B$9+2*(($A92+2)/100)*SQRT(1+$B$10^2)),0)&gt;0,(1/$B$17)*(IF(($B$9+2*(($A92+2)/100)*SQRT(1+$B$10^2))&gt;0,(($B$9 * (($A92+2)/100))+($B$10 * (($A92+2)/100)^2))/($B$9+2*(($A92+2)/100)*SQRT(1+$B$10^2)),0)^(2/3))*SQRT($B$16),0) * (($B$9 * (($A92+2)/100)) + (($B$10 * (($A92+2)/100)^2) * $B$19)))</f>
        <v/>
      </c>
      <c r="E92" s="12" t="str">
        <f>IF(($A92+3)&gt;$B$11, "", IF(IF(($B$9+2*(($A92+3)/100)*SQRT(1+$B$10^2))&gt;0,(($B$9 * (($A92+3)/100))+($B$10 * (($A92+3)/100)^2))/($B$9+2*(($A92+3)/100)*SQRT(1+$B$10^2)),0)&gt;0,(1/$B$17)*(IF(($B$9+2*(($A92+3)/100)*SQRT(1+$B$10^2))&gt;0,(($B$9 * (($A92+3)/100))+($B$10 * (($A92+3)/100)^2))/($B$9+2*(($A92+3)/100)*SQRT(1+$B$10^2)),0)^(2/3))*SQRT($B$16),0) * (($B$9 * (($A92+3)/100)) + (($B$10 * (($A92+3)/100)^2) * $B$19)))</f>
        <v/>
      </c>
      <c r="F92" s="12" t="str">
        <f>IF(($A92+4)&gt;$B$11, "", IF(IF(($B$9+2*(($A92+4)/100)*SQRT(1+$B$10^2))&gt;0,(($B$9 * (($A92+4)/100))+($B$10 * (($A92+4)/100)^2))/($B$9+2*(($A92+4)/100)*SQRT(1+$B$10^2)),0)&gt;0,(1/$B$17)*(IF(($B$9+2*(($A92+4)/100)*SQRT(1+$B$10^2))&gt;0,(($B$9 * (($A92+4)/100))+($B$10 * (($A92+4)/100)^2))/($B$9+2*(($A92+4)/100)*SQRT(1+$B$10^2)),0)^(2/3))*SQRT($B$16),0) * (($B$9 * (($A92+4)/100)) + (($B$10 * (($A92+4)/100)^2) * $B$19)))</f>
        <v/>
      </c>
      <c r="G92" s="12" t="str">
        <f>IF(($A92+5)&gt;$B$11, "", IF(IF(($B$9+2*(($A92+5)/100)*SQRT(1+$B$10^2))&gt;0,(($B$9 * (($A92+5)/100))+($B$10 * (($A92+5)/100)^2))/($B$9+2*(($A92+5)/100)*SQRT(1+$B$10^2)),0)&gt;0,(1/$B$17)*(IF(($B$9+2*(($A92+5)/100)*SQRT(1+$B$10^2))&gt;0,(($B$9 * (($A92+5)/100))+($B$10 * (($A92+5)/100)^2))/($B$9+2*(($A92+5)/100)*SQRT(1+$B$10^2)),0)^(2/3))*SQRT($B$16),0) * (($B$9 * (($A92+5)/100)) + (($B$10 * (($A92+5)/100)^2) * $B$19)))</f>
        <v/>
      </c>
      <c r="H92" s="12" t="str">
        <f>IF(($A92+6)&gt;$B$11, "", IF(IF(($B$9+2*(($A92+6)/100)*SQRT(1+$B$10^2))&gt;0,(($B$9 * (($A92+6)/100))+($B$10 * (($A92+6)/100)^2))/($B$9+2*(($A92+6)/100)*SQRT(1+$B$10^2)),0)&gt;0,(1/$B$17)*(IF(($B$9+2*(($A92+6)/100)*SQRT(1+$B$10^2))&gt;0,(($B$9 * (($A92+6)/100))+($B$10 * (($A92+6)/100)^2))/($B$9+2*(($A92+6)/100)*SQRT(1+$B$10^2)),0)^(2/3))*SQRT($B$16),0) * (($B$9 * (($A92+6)/100)) + (($B$10 * (($A92+6)/100)^2) * $B$19)))</f>
        <v/>
      </c>
      <c r="I92" s="12" t="str">
        <f>IF(($A92+7)&gt;$B$11, "", IF(IF(($B$9+2*(($A92+7)/100)*SQRT(1+$B$10^2))&gt;0,(($B$9 * (($A92+7)/100))+($B$10 * (($A92+7)/100)^2))/($B$9+2*(($A92+7)/100)*SQRT(1+$B$10^2)),0)&gt;0,(1/$B$17)*(IF(($B$9+2*(($A92+7)/100)*SQRT(1+$B$10^2))&gt;0,(($B$9 * (($A92+7)/100))+($B$10 * (($A92+7)/100)^2))/($B$9+2*(($A92+7)/100)*SQRT(1+$B$10^2)),0)^(2/3))*SQRT($B$16),0) * (($B$9 * (($A92+7)/100)) + (($B$10 * (($A92+7)/100)^2) * $B$19)))</f>
        <v/>
      </c>
      <c r="J92" s="12" t="str">
        <f>IF(($A92+8)&gt;$B$11, "", IF(IF(($B$9+2*(($A92+8)/100)*SQRT(1+$B$10^2))&gt;0,(($B$9 * (($A92+8)/100))+($B$10 * (($A92+8)/100)^2))/($B$9+2*(($A92+8)/100)*SQRT(1+$B$10^2)),0)&gt;0,(1/$B$17)*(IF(($B$9+2*(($A92+8)/100)*SQRT(1+$B$10^2))&gt;0,(($B$9 * (($A92+8)/100))+($B$10 * (($A92+8)/100)^2))/($B$9+2*(($A92+8)/100)*SQRT(1+$B$10^2)),0)^(2/3))*SQRT($B$16),0) * (($B$9 * (($A92+8)/100)) + (($B$10 * (($A92+8)/100)^2) * $B$19)))</f>
        <v/>
      </c>
      <c r="K92" s="12" t="str">
        <f>IF(($A92+9)&gt;$B$11, "", IF(IF(($B$9+2*(($A92+9)/100)*SQRT(1+$B$10^2))&gt;0,(($B$9 * (($A92+9)/100))+($B$10 * (($A92+9)/100)^2))/($B$9+2*(($A92+9)/100)*SQRT(1+$B$10^2)),0)&gt;0,(1/$B$17)*(IF(($B$9+2*(($A92+9)/100)*SQRT(1+$B$10^2))&gt;0,(($B$9 * (($A92+9)/100))+($B$10 * (($A92+9)/100)^2))/($B$9+2*(($A92+9)/100)*SQRT(1+$B$10^2)),0)^(2/3))*SQRT($B$16),0) * (($B$9 * (($A92+9)/100)) + (($B$10 * (($A92+9)/100)^2) * $B$19)))</f>
        <v/>
      </c>
    </row>
    <row r="93">
      <c r="A93" s="11">
        <v>30</v>
      </c>
      <c r="B93" s="12" t="str">
        <f>IF(($A93+0)&gt;$B$11, "", IF(IF(($B$9+2*(($A93+0)/100)*SQRT(1+$B$10^2))&gt;0,(($B$9 * (($A93+0)/100))+($B$10 * (($A93+0)/100)^2))/($B$9+2*(($A93+0)/100)*SQRT(1+$B$10^2)),0)&gt;0,(1/$B$17)*(IF(($B$9+2*(($A93+0)/100)*SQRT(1+$B$10^2))&gt;0,(($B$9 * (($A93+0)/100))+($B$10 * (($A93+0)/100)^2))/($B$9+2*(($A93+0)/100)*SQRT(1+$B$10^2)),0)^(2/3))*SQRT($B$16),0) * (($B$9 * (($A93+0)/100)) + (($B$10 * (($A93+0)/100)^2) * $B$19)))</f>
        <v/>
      </c>
      <c r="C93" s="12" t="str">
        <f>IF(($A93+1)&gt;$B$11, "", IF(IF(($B$9+2*(($A93+1)/100)*SQRT(1+$B$10^2))&gt;0,(($B$9 * (($A93+1)/100))+($B$10 * (($A93+1)/100)^2))/($B$9+2*(($A93+1)/100)*SQRT(1+$B$10^2)),0)&gt;0,(1/$B$17)*(IF(($B$9+2*(($A93+1)/100)*SQRT(1+$B$10^2))&gt;0,(($B$9 * (($A93+1)/100))+($B$10 * (($A93+1)/100)^2))/($B$9+2*(($A93+1)/100)*SQRT(1+$B$10^2)),0)^(2/3))*SQRT($B$16),0) * (($B$9 * (($A93+1)/100)) + (($B$10 * (($A93+1)/100)^2) * $B$19)))</f>
        <v/>
      </c>
      <c r="D93" s="12" t="str">
        <f>IF(($A93+2)&gt;$B$11, "", IF(IF(($B$9+2*(($A93+2)/100)*SQRT(1+$B$10^2))&gt;0,(($B$9 * (($A93+2)/100))+($B$10 * (($A93+2)/100)^2))/($B$9+2*(($A93+2)/100)*SQRT(1+$B$10^2)),0)&gt;0,(1/$B$17)*(IF(($B$9+2*(($A93+2)/100)*SQRT(1+$B$10^2))&gt;0,(($B$9 * (($A93+2)/100))+($B$10 * (($A93+2)/100)^2))/($B$9+2*(($A93+2)/100)*SQRT(1+$B$10^2)),0)^(2/3))*SQRT($B$16),0) * (($B$9 * (($A93+2)/100)) + (($B$10 * (($A93+2)/100)^2) * $B$19)))</f>
        <v/>
      </c>
      <c r="E93" s="12" t="str">
        <f>IF(($A93+3)&gt;$B$11, "", IF(IF(($B$9+2*(($A93+3)/100)*SQRT(1+$B$10^2))&gt;0,(($B$9 * (($A93+3)/100))+($B$10 * (($A93+3)/100)^2))/($B$9+2*(($A93+3)/100)*SQRT(1+$B$10^2)),0)&gt;0,(1/$B$17)*(IF(($B$9+2*(($A93+3)/100)*SQRT(1+$B$10^2))&gt;0,(($B$9 * (($A93+3)/100))+($B$10 * (($A93+3)/100)^2))/($B$9+2*(($A93+3)/100)*SQRT(1+$B$10^2)),0)^(2/3))*SQRT($B$16),0) * (($B$9 * (($A93+3)/100)) + (($B$10 * (($A93+3)/100)^2) * $B$19)))</f>
        <v/>
      </c>
      <c r="F93" s="12" t="str">
        <f>IF(($A93+4)&gt;$B$11, "", IF(IF(($B$9+2*(($A93+4)/100)*SQRT(1+$B$10^2))&gt;0,(($B$9 * (($A93+4)/100))+($B$10 * (($A93+4)/100)^2))/($B$9+2*(($A93+4)/100)*SQRT(1+$B$10^2)),0)&gt;0,(1/$B$17)*(IF(($B$9+2*(($A93+4)/100)*SQRT(1+$B$10^2))&gt;0,(($B$9 * (($A93+4)/100))+($B$10 * (($A93+4)/100)^2))/($B$9+2*(($A93+4)/100)*SQRT(1+$B$10^2)),0)^(2/3))*SQRT($B$16),0) * (($B$9 * (($A93+4)/100)) + (($B$10 * (($A93+4)/100)^2) * $B$19)))</f>
        <v/>
      </c>
      <c r="G93" s="12" t="str">
        <f>IF(($A93+5)&gt;$B$11, "", IF(IF(($B$9+2*(($A93+5)/100)*SQRT(1+$B$10^2))&gt;0,(($B$9 * (($A93+5)/100))+($B$10 * (($A93+5)/100)^2))/($B$9+2*(($A93+5)/100)*SQRT(1+$B$10^2)),0)&gt;0,(1/$B$17)*(IF(($B$9+2*(($A93+5)/100)*SQRT(1+$B$10^2))&gt;0,(($B$9 * (($A93+5)/100))+($B$10 * (($A93+5)/100)^2))/($B$9+2*(($A93+5)/100)*SQRT(1+$B$10^2)),0)^(2/3))*SQRT($B$16),0) * (($B$9 * (($A93+5)/100)) + (($B$10 * (($A93+5)/100)^2) * $B$19)))</f>
        <v/>
      </c>
      <c r="H93" s="12" t="str">
        <f>IF(($A93+6)&gt;$B$11, "", IF(IF(($B$9+2*(($A93+6)/100)*SQRT(1+$B$10^2))&gt;0,(($B$9 * (($A93+6)/100))+($B$10 * (($A93+6)/100)^2))/($B$9+2*(($A93+6)/100)*SQRT(1+$B$10^2)),0)&gt;0,(1/$B$17)*(IF(($B$9+2*(($A93+6)/100)*SQRT(1+$B$10^2))&gt;0,(($B$9 * (($A93+6)/100))+($B$10 * (($A93+6)/100)^2))/($B$9+2*(($A93+6)/100)*SQRT(1+$B$10^2)),0)^(2/3))*SQRT($B$16),0) * (($B$9 * (($A93+6)/100)) + (($B$10 * (($A93+6)/100)^2) * $B$19)))</f>
        <v/>
      </c>
      <c r="I93" s="12" t="str">
        <f>IF(($A93+7)&gt;$B$11, "", IF(IF(($B$9+2*(($A93+7)/100)*SQRT(1+$B$10^2))&gt;0,(($B$9 * (($A93+7)/100))+($B$10 * (($A93+7)/100)^2))/($B$9+2*(($A93+7)/100)*SQRT(1+$B$10^2)),0)&gt;0,(1/$B$17)*(IF(($B$9+2*(($A93+7)/100)*SQRT(1+$B$10^2))&gt;0,(($B$9 * (($A93+7)/100))+($B$10 * (($A93+7)/100)^2))/($B$9+2*(($A93+7)/100)*SQRT(1+$B$10^2)),0)^(2/3))*SQRT($B$16),0) * (($B$9 * (($A93+7)/100)) + (($B$10 * (($A93+7)/100)^2) * $B$19)))</f>
        <v/>
      </c>
      <c r="J93" s="12" t="str">
        <f>IF(($A93+8)&gt;$B$11, "", IF(IF(($B$9+2*(($A93+8)/100)*SQRT(1+$B$10^2))&gt;0,(($B$9 * (($A93+8)/100))+($B$10 * (($A93+8)/100)^2))/($B$9+2*(($A93+8)/100)*SQRT(1+$B$10^2)),0)&gt;0,(1/$B$17)*(IF(($B$9+2*(($A93+8)/100)*SQRT(1+$B$10^2))&gt;0,(($B$9 * (($A93+8)/100))+($B$10 * (($A93+8)/100)^2))/($B$9+2*(($A93+8)/100)*SQRT(1+$B$10^2)),0)^(2/3))*SQRT($B$16),0) * (($B$9 * (($A93+8)/100)) + (($B$10 * (($A93+8)/100)^2) * $B$19)))</f>
        <v/>
      </c>
      <c r="K93" s="12" t="str">
        <f>IF(($A93+9)&gt;$B$11, "", IF(IF(($B$9+2*(($A93+9)/100)*SQRT(1+$B$10^2))&gt;0,(($B$9 * (($A93+9)/100))+($B$10 * (($A93+9)/100)^2))/($B$9+2*(($A93+9)/100)*SQRT(1+$B$10^2)),0)&gt;0,(1/$B$17)*(IF(($B$9+2*(($A93+9)/100)*SQRT(1+$B$10^2))&gt;0,(($B$9 * (($A93+9)/100))+($B$10 * (($A93+9)/100)^2))/($B$9+2*(($A93+9)/100)*SQRT(1+$B$10^2)),0)^(2/3))*SQRT($B$16),0) * (($B$9 * (($A93+9)/100)) + (($B$10 * (($A93+9)/100)^2) * $B$19)))</f>
        <v/>
      </c>
    </row>
    <row r="94">
      <c r="A94" s="11">
        <v>40</v>
      </c>
      <c r="B94" s="12" t="str">
        <f>IF(($A94+0)&gt;$B$11, "", IF(IF(($B$9+2*(($A94+0)/100)*SQRT(1+$B$10^2))&gt;0,(($B$9 * (($A94+0)/100))+($B$10 * (($A94+0)/100)^2))/($B$9+2*(($A94+0)/100)*SQRT(1+$B$10^2)),0)&gt;0,(1/$B$17)*(IF(($B$9+2*(($A94+0)/100)*SQRT(1+$B$10^2))&gt;0,(($B$9 * (($A94+0)/100))+($B$10 * (($A94+0)/100)^2))/($B$9+2*(($A94+0)/100)*SQRT(1+$B$10^2)),0)^(2/3))*SQRT($B$16),0) * (($B$9 * (($A94+0)/100)) + (($B$10 * (($A94+0)/100)^2) * $B$19)))</f>
        <v/>
      </c>
      <c r="C94" s="12" t="str">
        <f>IF(($A94+1)&gt;$B$11, "", IF(IF(($B$9+2*(($A94+1)/100)*SQRT(1+$B$10^2))&gt;0,(($B$9 * (($A94+1)/100))+($B$10 * (($A94+1)/100)^2))/($B$9+2*(($A94+1)/100)*SQRT(1+$B$10^2)),0)&gt;0,(1/$B$17)*(IF(($B$9+2*(($A94+1)/100)*SQRT(1+$B$10^2))&gt;0,(($B$9 * (($A94+1)/100))+($B$10 * (($A94+1)/100)^2))/($B$9+2*(($A94+1)/100)*SQRT(1+$B$10^2)),0)^(2/3))*SQRT($B$16),0) * (($B$9 * (($A94+1)/100)) + (($B$10 * (($A94+1)/100)^2) * $B$19)))</f>
        <v/>
      </c>
      <c r="D94" s="12" t="str">
        <f>IF(($A94+2)&gt;$B$11, "", IF(IF(($B$9+2*(($A94+2)/100)*SQRT(1+$B$10^2))&gt;0,(($B$9 * (($A94+2)/100))+($B$10 * (($A94+2)/100)^2))/($B$9+2*(($A94+2)/100)*SQRT(1+$B$10^2)),0)&gt;0,(1/$B$17)*(IF(($B$9+2*(($A94+2)/100)*SQRT(1+$B$10^2))&gt;0,(($B$9 * (($A94+2)/100))+($B$10 * (($A94+2)/100)^2))/($B$9+2*(($A94+2)/100)*SQRT(1+$B$10^2)),0)^(2/3))*SQRT($B$16),0) * (($B$9 * (($A94+2)/100)) + (($B$10 * (($A94+2)/100)^2) * $B$19)))</f>
        <v/>
      </c>
      <c r="E94" s="12" t="str">
        <f>IF(($A94+3)&gt;$B$11, "", IF(IF(($B$9+2*(($A94+3)/100)*SQRT(1+$B$10^2))&gt;0,(($B$9 * (($A94+3)/100))+($B$10 * (($A94+3)/100)^2))/($B$9+2*(($A94+3)/100)*SQRT(1+$B$10^2)),0)&gt;0,(1/$B$17)*(IF(($B$9+2*(($A94+3)/100)*SQRT(1+$B$10^2))&gt;0,(($B$9 * (($A94+3)/100))+($B$10 * (($A94+3)/100)^2))/($B$9+2*(($A94+3)/100)*SQRT(1+$B$10^2)),0)^(2/3))*SQRT($B$16),0) * (($B$9 * (($A94+3)/100)) + (($B$10 * (($A94+3)/100)^2) * $B$19)))</f>
        <v/>
      </c>
      <c r="F94" s="12" t="str">
        <f>IF(($A94+4)&gt;$B$11, "", IF(IF(($B$9+2*(($A94+4)/100)*SQRT(1+$B$10^2))&gt;0,(($B$9 * (($A94+4)/100))+($B$10 * (($A94+4)/100)^2))/($B$9+2*(($A94+4)/100)*SQRT(1+$B$10^2)),0)&gt;0,(1/$B$17)*(IF(($B$9+2*(($A94+4)/100)*SQRT(1+$B$10^2))&gt;0,(($B$9 * (($A94+4)/100))+($B$10 * (($A94+4)/100)^2))/($B$9+2*(($A94+4)/100)*SQRT(1+$B$10^2)),0)^(2/3))*SQRT($B$16),0) * (($B$9 * (($A94+4)/100)) + (($B$10 * (($A94+4)/100)^2) * $B$19)))</f>
        <v/>
      </c>
      <c r="G94" s="12" t="str">
        <f>IF(($A94+5)&gt;$B$11, "", IF(IF(($B$9+2*(($A94+5)/100)*SQRT(1+$B$10^2))&gt;0,(($B$9 * (($A94+5)/100))+($B$10 * (($A94+5)/100)^2))/($B$9+2*(($A94+5)/100)*SQRT(1+$B$10^2)),0)&gt;0,(1/$B$17)*(IF(($B$9+2*(($A94+5)/100)*SQRT(1+$B$10^2))&gt;0,(($B$9 * (($A94+5)/100))+($B$10 * (($A94+5)/100)^2))/($B$9+2*(($A94+5)/100)*SQRT(1+$B$10^2)),0)^(2/3))*SQRT($B$16),0) * (($B$9 * (($A94+5)/100)) + (($B$10 * (($A94+5)/100)^2) * $B$19)))</f>
        <v/>
      </c>
      <c r="H94" s="12" t="str">
        <f>IF(($A94+6)&gt;$B$11, "", IF(IF(($B$9+2*(($A94+6)/100)*SQRT(1+$B$10^2))&gt;0,(($B$9 * (($A94+6)/100))+($B$10 * (($A94+6)/100)^2))/($B$9+2*(($A94+6)/100)*SQRT(1+$B$10^2)),0)&gt;0,(1/$B$17)*(IF(($B$9+2*(($A94+6)/100)*SQRT(1+$B$10^2))&gt;0,(($B$9 * (($A94+6)/100))+($B$10 * (($A94+6)/100)^2))/($B$9+2*(($A94+6)/100)*SQRT(1+$B$10^2)),0)^(2/3))*SQRT($B$16),0) * (($B$9 * (($A94+6)/100)) + (($B$10 * (($A94+6)/100)^2) * $B$19)))</f>
        <v/>
      </c>
      <c r="I94" s="12" t="str">
        <f>IF(($A94+7)&gt;$B$11, "", IF(IF(($B$9+2*(($A94+7)/100)*SQRT(1+$B$10^2))&gt;0,(($B$9 * (($A94+7)/100))+($B$10 * (($A94+7)/100)^2))/($B$9+2*(($A94+7)/100)*SQRT(1+$B$10^2)),0)&gt;0,(1/$B$17)*(IF(($B$9+2*(($A94+7)/100)*SQRT(1+$B$10^2))&gt;0,(($B$9 * (($A94+7)/100))+($B$10 * (($A94+7)/100)^2))/($B$9+2*(($A94+7)/100)*SQRT(1+$B$10^2)),0)^(2/3))*SQRT($B$16),0) * (($B$9 * (($A94+7)/100)) + (($B$10 * (($A94+7)/100)^2) * $B$19)))</f>
        <v/>
      </c>
      <c r="J94" s="12" t="str">
        <f>IF(($A94+8)&gt;$B$11, "", IF(IF(($B$9+2*(($A94+8)/100)*SQRT(1+$B$10^2))&gt;0,(($B$9 * (($A94+8)/100))+($B$10 * (($A94+8)/100)^2))/($B$9+2*(($A94+8)/100)*SQRT(1+$B$10^2)),0)&gt;0,(1/$B$17)*(IF(($B$9+2*(($A94+8)/100)*SQRT(1+$B$10^2))&gt;0,(($B$9 * (($A94+8)/100))+($B$10 * (($A94+8)/100)^2))/($B$9+2*(($A94+8)/100)*SQRT(1+$B$10^2)),0)^(2/3))*SQRT($B$16),0) * (($B$9 * (($A94+8)/100)) + (($B$10 * (($A94+8)/100)^2) * $B$19)))</f>
        <v/>
      </c>
      <c r="K94" s="12" t="str">
        <f>IF(($A94+9)&gt;$B$11, "", IF(IF(($B$9+2*(($A94+9)/100)*SQRT(1+$B$10^2))&gt;0,(($B$9 * (($A94+9)/100))+($B$10 * (($A94+9)/100)^2))/($B$9+2*(($A94+9)/100)*SQRT(1+$B$10^2)),0)&gt;0,(1/$B$17)*(IF(($B$9+2*(($A94+9)/100)*SQRT(1+$B$10^2))&gt;0,(($B$9 * (($A94+9)/100))+($B$10 * (($A94+9)/100)^2))/($B$9+2*(($A94+9)/100)*SQRT(1+$B$10^2)),0)^(2/3))*SQRT($B$16),0) * (($B$9 * (($A94+9)/100)) + (($B$10 * (($A94+9)/100)^2) * $B$19)))</f>
        <v/>
      </c>
    </row>
    <row r="95">
      <c r="A95" s="11">
        <v>50</v>
      </c>
      <c r="B95" s="12" t="str">
        <f>IF(($A95+0)&gt;$B$11, "", IF(IF(($B$9+2*(($A95+0)/100)*SQRT(1+$B$10^2))&gt;0,(($B$9 * (($A95+0)/100))+($B$10 * (($A95+0)/100)^2))/($B$9+2*(($A95+0)/100)*SQRT(1+$B$10^2)),0)&gt;0,(1/$B$17)*(IF(($B$9+2*(($A95+0)/100)*SQRT(1+$B$10^2))&gt;0,(($B$9 * (($A95+0)/100))+($B$10 * (($A95+0)/100)^2))/($B$9+2*(($A95+0)/100)*SQRT(1+$B$10^2)),0)^(2/3))*SQRT($B$16),0) * (($B$9 * (($A95+0)/100)) + (($B$10 * (($A95+0)/100)^2) * $B$19)))</f>
        <v/>
      </c>
      <c r="C95" s="12" t="str">
        <f>IF(($A95+1)&gt;$B$11, "", IF(IF(($B$9+2*(($A95+1)/100)*SQRT(1+$B$10^2))&gt;0,(($B$9 * (($A95+1)/100))+($B$10 * (($A95+1)/100)^2))/($B$9+2*(($A95+1)/100)*SQRT(1+$B$10^2)),0)&gt;0,(1/$B$17)*(IF(($B$9+2*(($A95+1)/100)*SQRT(1+$B$10^2))&gt;0,(($B$9 * (($A95+1)/100))+($B$10 * (($A95+1)/100)^2))/($B$9+2*(($A95+1)/100)*SQRT(1+$B$10^2)),0)^(2/3))*SQRT($B$16),0) * (($B$9 * (($A95+1)/100)) + (($B$10 * (($A95+1)/100)^2) * $B$19)))</f>
        <v/>
      </c>
      <c r="D95" s="12" t="str">
        <f>IF(($A95+2)&gt;$B$11, "", IF(IF(($B$9+2*(($A95+2)/100)*SQRT(1+$B$10^2))&gt;0,(($B$9 * (($A95+2)/100))+($B$10 * (($A95+2)/100)^2))/($B$9+2*(($A95+2)/100)*SQRT(1+$B$10^2)),0)&gt;0,(1/$B$17)*(IF(($B$9+2*(($A95+2)/100)*SQRT(1+$B$10^2))&gt;0,(($B$9 * (($A95+2)/100))+($B$10 * (($A95+2)/100)^2))/($B$9+2*(($A95+2)/100)*SQRT(1+$B$10^2)),0)^(2/3))*SQRT($B$16),0) * (($B$9 * (($A95+2)/100)) + (($B$10 * (($A95+2)/100)^2) * $B$19)))</f>
        <v/>
      </c>
      <c r="E95" s="12" t="str">
        <f>IF(($A95+3)&gt;$B$11, "", IF(IF(($B$9+2*(($A95+3)/100)*SQRT(1+$B$10^2))&gt;0,(($B$9 * (($A95+3)/100))+($B$10 * (($A95+3)/100)^2))/($B$9+2*(($A95+3)/100)*SQRT(1+$B$10^2)),0)&gt;0,(1/$B$17)*(IF(($B$9+2*(($A95+3)/100)*SQRT(1+$B$10^2))&gt;0,(($B$9 * (($A95+3)/100))+($B$10 * (($A95+3)/100)^2))/($B$9+2*(($A95+3)/100)*SQRT(1+$B$10^2)),0)^(2/3))*SQRT($B$16),0) * (($B$9 * (($A95+3)/100)) + (($B$10 * (($A95+3)/100)^2) * $B$19)))</f>
        <v/>
      </c>
      <c r="F95" s="12" t="str">
        <f>IF(($A95+4)&gt;$B$11, "", IF(IF(($B$9+2*(($A95+4)/100)*SQRT(1+$B$10^2))&gt;0,(($B$9 * (($A95+4)/100))+($B$10 * (($A95+4)/100)^2))/($B$9+2*(($A95+4)/100)*SQRT(1+$B$10^2)),0)&gt;0,(1/$B$17)*(IF(($B$9+2*(($A95+4)/100)*SQRT(1+$B$10^2))&gt;0,(($B$9 * (($A95+4)/100))+($B$10 * (($A95+4)/100)^2))/($B$9+2*(($A95+4)/100)*SQRT(1+$B$10^2)),0)^(2/3))*SQRT($B$16),0) * (($B$9 * (($A95+4)/100)) + (($B$10 * (($A95+4)/100)^2) * $B$19)))</f>
        <v/>
      </c>
      <c r="G95" s="12" t="str">
        <f>IF(($A95+5)&gt;$B$11, "", IF(IF(($B$9+2*(($A95+5)/100)*SQRT(1+$B$10^2))&gt;0,(($B$9 * (($A95+5)/100))+($B$10 * (($A95+5)/100)^2))/($B$9+2*(($A95+5)/100)*SQRT(1+$B$10^2)),0)&gt;0,(1/$B$17)*(IF(($B$9+2*(($A95+5)/100)*SQRT(1+$B$10^2))&gt;0,(($B$9 * (($A95+5)/100))+($B$10 * (($A95+5)/100)^2))/($B$9+2*(($A95+5)/100)*SQRT(1+$B$10^2)),0)^(2/3))*SQRT($B$16),0) * (($B$9 * (($A95+5)/100)) + (($B$10 * (($A95+5)/100)^2) * $B$19)))</f>
        <v/>
      </c>
      <c r="H95" s="12" t="str">
        <f>IF(($A95+6)&gt;$B$11, "", IF(IF(($B$9+2*(($A95+6)/100)*SQRT(1+$B$10^2))&gt;0,(($B$9 * (($A95+6)/100))+($B$10 * (($A95+6)/100)^2))/($B$9+2*(($A95+6)/100)*SQRT(1+$B$10^2)),0)&gt;0,(1/$B$17)*(IF(($B$9+2*(($A95+6)/100)*SQRT(1+$B$10^2))&gt;0,(($B$9 * (($A95+6)/100))+($B$10 * (($A95+6)/100)^2))/($B$9+2*(($A95+6)/100)*SQRT(1+$B$10^2)),0)^(2/3))*SQRT($B$16),0) * (($B$9 * (($A95+6)/100)) + (($B$10 * (($A95+6)/100)^2) * $B$19)))</f>
        <v/>
      </c>
      <c r="I95" s="12" t="str">
        <f>IF(($A95+7)&gt;$B$11, "", IF(IF(($B$9+2*(($A95+7)/100)*SQRT(1+$B$10^2))&gt;0,(($B$9 * (($A95+7)/100))+($B$10 * (($A95+7)/100)^2))/($B$9+2*(($A95+7)/100)*SQRT(1+$B$10^2)),0)&gt;0,(1/$B$17)*(IF(($B$9+2*(($A95+7)/100)*SQRT(1+$B$10^2))&gt;0,(($B$9 * (($A95+7)/100))+($B$10 * (($A95+7)/100)^2))/($B$9+2*(($A95+7)/100)*SQRT(1+$B$10^2)),0)^(2/3))*SQRT($B$16),0) * (($B$9 * (($A95+7)/100)) + (($B$10 * (($A95+7)/100)^2) * $B$19)))</f>
        <v/>
      </c>
      <c r="J95" s="12" t="str">
        <f>IF(($A95+8)&gt;$B$11, "", IF(IF(($B$9+2*(($A95+8)/100)*SQRT(1+$B$10^2))&gt;0,(($B$9 * (($A95+8)/100))+($B$10 * (($A95+8)/100)^2))/($B$9+2*(($A95+8)/100)*SQRT(1+$B$10^2)),0)&gt;0,(1/$B$17)*(IF(($B$9+2*(($A95+8)/100)*SQRT(1+$B$10^2))&gt;0,(($B$9 * (($A95+8)/100))+($B$10 * (($A95+8)/100)^2))/($B$9+2*(($A95+8)/100)*SQRT(1+$B$10^2)),0)^(2/3))*SQRT($B$16),0) * (($B$9 * (($A95+8)/100)) + (($B$10 * (($A95+8)/100)^2) * $B$19)))</f>
        <v/>
      </c>
      <c r="K95" s="12" t="str">
        <f>IF(($A95+9)&gt;$B$11, "", IF(IF(($B$9+2*(($A95+9)/100)*SQRT(1+$B$10^2))&gt;0,(($B$9 * (($A95+9)/100))+($B$10 * (($A95+9)/100)^2))/($B$9+2*(($A95+9)/100)*SQRT(1+$B$10^2)),0)&gt;0,(1/$B$17)*(IF(($B$9+2*(($A95+9)/100)*SQRT(1+$B$10^2))&gt;0,(($B$9 * (($A95+9)/100))+($B$10 * (($A95+9)/100)^2))/($B$9+2*(($A95+9)/100)*SQRT(1+$B$10^2)),0)^(2/3))*SQRT($B$16),0) * (($B$9 * (($A95+9)/100)) + (($B$10 * (($A95+9)/100)^2) * $B$19)))</f>
        <v/>
      </c>
    </row>
    <row r="96">
      <c r="A96" s="11">
        <v>60</v>
      </c>
      <c r="B96" s="12" t="str">
        <f>IF(($A96+0)&gt;$B$11, "", IF(IF(($B$9+2*(($A96+0)/100)*SQRT(1+$B$10^2))&gt;0,(($B$9 * (($A96+0)/100))+($B$10 * (($A96+0)/100)^2))/($B$9+2*(($A96+0)/100)*SQRT(1+$B$10^2)),0)&gt;0,(1/$B$17)*(IF(($B$9+2*(($A96+0)/100)*SQRT(1+$B$10^2))&gt;0,(($B$9 * (($A96+0)/100))+($B$10 * (($A96+0)/100)^2))/($B$9+2*(($A96+0)/100)*SQRT(1+$B$10^2)),0)^(2/3))*SQRT($B$16),0) * (($B$9 * (($A96+0)/100)) + (($B$10 * (($A96+0)/100)^2) * $B$19)))</f>
        <v/>
      </c>
      <c r="C96" s="12" t="str">
        <f>IF(($A96+1)&gt;$B$11, "", IF(IF(($B$9+2*(($A96+1)/100)*SQRT(1+$B$10^2))&gt;0,(($B$9 * (($A96+1)/100))+($B$10 * (($A96+1)/100)^2))/($B$9+2*(($A96+1)/100)*SQRT(1+$B$10^2)),0)&gt;0,(1/$B$17)*(IF(($B$9+2*(($A96+1)/100)*SQRT(1+$B$10^2))&gt;0,(($B$9 * (($A96+1)/100))+($B$10 * (($A96+1)/100)^2))/($B$9+2*(($A96+1)/100)*SQRT(1+$B$10^2)),0)^(2/3))*SQRT($B$16),0) * (($B$9 * (($A96+1)/100)) + (($B$10 * (($A96+1)/100)^2) * $B$19)))</f>
        <v/>
      </c>
      <c r="D96" s="12" t="str">
        <f>IF(($A96+2)&gt;$B$11, "", IF(IF(($B$9+2*(($A96+2)/100)*SQRT(1+$B$10^2))&gt;0,(($B$9 * (($A96+2)/100))+($B$10 * (($A96+2)/100)^2))/($B$9+2*(($A96+2)/100)*SQRT(1+$B$10^2)),0)&gt;0,(1/$B$17)*(IF(($B$9+2*(($A96+2)/100)*SQRT(1+$B$10^2))&gt;0,(($B$9 * (($A96+2)/100))+($B$10 * (($A96+2)/100)^2))/($B$9+2*(($A96+2)/100)*SQRT(1+$B$10^2)),0)^(2/3))*SQRT($B$16),0) * (($B$9 * (($A96+2)/100)) + (($B$10 * (($A96+2)/100)^2) * $B$19)))</f>
        <v/>
      </c>
      <c r="E96" s="12" t="str">
        <f>IF(($A96+3)&gt;$B$11, "", IF(IF(($B$9+2*(($A96+3)/100)*SQRT(1+$B$10^2))&gt;0,(($B$9 * (($A96+3)/100))+($B$10 * (($A96+3)/100)^2))/($B$9+2*(($A96+3)/100)*SQRT(1+$B$10^2)),0)&gt;0,(1/$B$17)*(IF(($B$9+2*(($A96+3)/100)*SQRT(1+$B$10^2))&gt;0,(($B$9 * (($A96+3)/100))+($B$10 * (($A96+3)/100)^2))/($B$9+2*(($A96+3)/100)*SQRT(1+$B$10^2)),0)^(2/3))*SQRT($B$16),0) * (($B$9 * (($A96+3)/100)) + (($B$10 * (($A96+3)/100)^2) * $B$19)))</f>
        <v/>
      </c>
      <c r="F96" s="12" t="str">
        <f>IF(($A96+4)&gt;$B$11, "", IF(IF(($B$9+2*(($A96+4)/100)*SQRT(1+$B$10^2))&gt;0,(($B$9 * (($A96+4)/100))+($B$10 * (($A96+4)/100)^2))/($B$9+2*(($A96+4)/100)*SQRT(1+$B$10^2)),0)&gt;0,(1/$B$17)*(IF(($B$9+2*(($A96+4)/100)*SQRT(1+$B$10^2))&gt;0,(($B$9 * (($A96+4)/100))+($B$10 * (($A96+4)/100)^2))/($B$9+2*(($A96+4)/100)*SQRT(1+$B$10^2)),0)^(2/3))*SQRT($B$16),0) * (($B$9 * (($A96+4)/100)) + (($B$10 * (($A96+4)/100)^2) * $B$19)))</f>
        <v/>
      </c>
      <c r="G96" s="12" t="str">
        <f>IF(($A96+5)&gt;$B$11, "", IF(IF(($B$9+2*(($A96+5)/100)*SQRT(1+$B$10^2))&gt;0,(($B$9 * (($A96+5)/100))+($B$10 * (($A96+5)/100)^2))/($B$9+2*(($A96+5)/100)*SQRT(1+$B$10^2)),0)&gt;0,(1/$B$17)*(IF(($B$9+2*(($A96+5)/100)*SQRT(1+$B$10^2))&gt;0,(($B$9 * (($A96+5)/100))+($B$10 * (($A96+5)/100)^2))/($B$9+2*(($A96+5)/100)*SQRT(1+$B$10^2)),0)^(2/3))*SQRT($B$16),0) * (($B$9 * (($A96+5)/100)) + (($B$10 * (($A96+5)/100)^2) * $B$19)))</f>
        <v/>
      </c>
      <c r="H96" s="12" t="str">
        <f>IF(($A96+6)&gt;$B$11, "", IF(IF(($B$9+2*(($A96+6)/100)*SQRT(1+$B$10^2))&gt;0,(($B$9 * (($A96+6)/100))+($B$10 * (($A96+6)/100)^2))/($B$9+2*(($A96+6)/100)*SQRT(1+$B$10^2)),0)&gt;0,(1/$B$17)*(IF(($B$9+2*(($A96+6)/100)*SQRT(1+$B$10^2))&gt;0,(($B$9 * (($A96+6)/100))+($B$10 * (($A96+6)/100)^2))/($B$9+2*(($A96+6)/100)*SQRT(1+$B$10^2)),0)^(2/3))*SQRT($B$16),0) * (($B$9 * (($A96+6)/100)) + (($B$10 * (($A96+6)/100)^2) * $B$19)))</f>
        <v/>
      </c>
      <c r="I96" s="12" t="str">
        <f>IF(($A96+7)&gt;$B$11, "", IF(IF(($B$9+2*(($A96+7)/100)*SQRT(1+$B$10^2))&gt;0,(($B$9 * (($A96+7)/100))+($B$10 * (($A96+7)/100)^2))/($B$9+2*(($A96+7)/100)*SQRT(1+$B$10^2)),0)&gt;0,(1/$B$17)*(IF(($B$9+2*(($A96+7)/100)*SQRT(1+$B$10^2))&gt;0,(($B$9 * (($A96+7)/100))+($B$10 * (($A96+7)/100)^2))/($B$9+2*(($A96+7)/100)*SQRT(1+$B$10^2)),0)^(2/3))*SQRT($B$16),0) * (($B$9 * (($A96+7)/100)) + (($B$10 * (($A96+7)/100)^2) * $B$19)))</f>
        <v/>
      </c>
      <c r="J96" s="12" t="str">
        <f>IF(($A96+8)&gt;$B$11, "", IF(IF(($B$9+2*(($A96+8)/100)*SQRT(1+$B$10^2))&gt;0,(($B$9 * (($A96+8)/100))+($B$10 * (($A96+8)/100)^2))/($B$9+2*(($A96+8)/100)*SQRT(1+$B$10^2)),0)&gt;0,(1/$B$17)*(IF(($B$9+2*(($A96+8)/100)*SQRT(1+$B$10^2))&gt;0,(($B$9 * (($A96+8)/100))+($B$10 * (($A96+8)/100)^2))/($B$9+2*(($A96+8)/100)*SQRT(1+$B$10^2)),0)^(2/3))*SQRT($B$16),0) * (($B$9 * (($A96+8)/100)) + (($B$10 * (($A96+8)/100)^2) * $B$19)))</f>
        <v/>
      </c>
      <c r="K96" s="12" t="str">
        <f>IF(($A96+9)&gt;$B$11, "", IF(IF(($B$9+2*(($A96+9)/100)*SQRT(1+$B$10^2))&gt;0,(($B$9 * (($A96+9)/100))+($B$10 * (($A96+9)/100)^2))/($B$9+2*(($A96+9)/100)*SQRT(1+$B$10^2)),0)&gt;0,(1/$B$17)*(IF(($B$9+2*(($A96+9)/100)*SQRT(1+$B$10^2))&gt;0,(($B$9 * (($A96+9)/100))+($B$10 * (($A96+9)/100)^2))/($B$9+2*(($A96+9)/100)*SQRT(1+$B$10^2)),0)^(2/3))*SQRT($B$16),0) * (($B$9 * (($A96+9)/100)) + (($B$10 * (($A96+9)/100)^2) * $B$19)))</f>
        <v/>
      </c>
    </row>
    <row r="97">
      <c r="A97" s="11">
        <v>70</v>
      </c>
      <c r="B97" s="12" t="str">
        <f>IF(($A97+0)&gt;$B$11, "", IF(IF(($B$9+2*(($A97+0)/100)*SQRT(1+$B$10^2))&gt;0,(($B$9 * (($A97+0)/100))+($B$10 * (($A97+0)/100)^2))/($B$9+2*(($A97+0)/100)*SQRT(1+$B$10^2)),0)&gt;0,(1/$B$17)*(IF(($B$9+2*(($A97+0)/100)*SQRT(1+$B$10^2))&gt;0,(($B$9 * (($A97+0)/100))+($B$10 * (($A97+0)/100)^2))/($B$9+2*(($A97+0)/100)*SQRT(1+$B$10^2)),0)^(2/3))*SQRT($B$16),0) * (($B$9 * (($A97+0)/100)) + (($B$10 * (($A97+0)/100)^2) * $B$19)))</f>
        <v/>
      </c>
      <c r="C97" s="12" t="str">
        <f>IF(($A97+1)&gt;$B$11, "", IF(IF(($B$9+2*(($A97+1)/100)*SQRT(1+$B$10^2))&gt;0,(($B$9 * (($A97+1)/100))+($B$10 * (($A97+1)/100)^2))/($B$9+2*(($A97+1)/100)*SQRT(1+$B$10^2)),0)&gt;0,(1/$B$17)*(IF(($B$9+2*(($A97+1)/100)*SQRT(1+$B$10^2))&gt;0,(($B$9 * (($A97+1)/100))+($B$10 * (($A97+1)/100)^2))/($B$9+2*(($A97+1)/100)*SQRT(1+$B$10^2)),0)^(2/3))*SQRT($B$16),0) * (($B$9 * (($A97+1)/100)) + (($B$10 * (($A97+1)/100)^2) * $B$19)))</f>
        <v/>
      </c>
      <c r="D97" s="12" t="str">
        <f>IF(($A97+2)&gt;$B$11, "", IF(IF(($B$9+2*(($A97+2)/100)*SQRT(1+$B$10^2))&gt;0,(($B$9 * (($A97+2)/100))+($B$10 * (($A97+2)/100)^2))/($B$9+2*(($A97+2)/100)*SQRT(1+$B$10^2)),0)&gt;0,(1/$B$17)*(IF(($B$9+2*(($A97+2)/100)*SQRT(1+$B$10^2))&gt;0,(($B$9 * (($A97+2)/100))+($B$10 * (($A97+2)/100)^2))/($B$9+2*(($A97+2)/100)*SQRT(1+$B$10^2)),0)^(2/3))*SQRT($B$16),0) * (($B$9 * (($A97+2)/100)) + (($B$10 * (($A97+2)/100)^2) * $B$19)))</f>
        <v/>
      </c>
      <c r="E97" s="12" t="str">
        <f>IF(($A97+3)&gt;$B$11, "", IF(IF(($B$9+2*(($A97+3)/100)*SQRT(1+$B$10^2))&gt;0,(($B$9 * (($A97+3)/100))+($B$10 * (($A97+3)/100)^2))/($B$9+2*(($A97+3)/100)*SQRT(1+$B$10^2)),0)&gt;0,(1/$B$17)*(IF(($B$9+2*(($A97+3)/100)*SQRT(1+$B$10^2))&gt;0,(($B$9 * (($A97+3)/100))+($B$10 * (($A97+3)/100)^2))/($B$9+2*(($A97+3)/100)*SQRT(1+$B$10^2)),0)^(2/3))*SQRT($B$16),0) * (($B$9 * (($A97+3)/100)) + (($B$10 * (($A97+3)/100)^2) * $B$19)))</f>
        <v/>
      </c>
      <c r="F97" s="12" t="str">
        <f>IF(($A97+4)&gt;$B$11, "", IF(IF(($B$9+2*(($A97+4)/100)*SQRT(1+$B$10^2))&gt;0,(($B$9 * (($A97+4)/100))+($B$10 * (($A97+4)/100)^2))/($B$9+2*(($A97+4)/100)*SQRT(1+$B$10^2)),0)&gt;0,(1/$B$17)*(IF(($B$9+2*(($A97+4)/100)*SQRT(1+$B$10^2))&gt;0,(($B$9 * (($A97+4)/100))+($B$10 * (($A97+4)/100)^2))/($B$9+2*(($A97+4)/100)*SQRT(1+$B$10^2)),0)^(2/3))*SQRT($B$16),0) * (($B$9 * (($A97+4)/100)) + (($B$10 * (($A97+4)/100)^2) * $B$19)))</f>
        <v/>
      </c>
      <c r="G97" s="12" t="str">
        <f>IF(($A97+5)&gt;$B$11, "", IF(IF(($B$9+2*(($A97+5)/100)*SQRT(1+$B$10^2))&gt;0,(($B$9 * (($A97+5)/100))+($B$10 * (($A97+5)/100)^2))/($B$9+2*(($A97+5)/100)*SQRT(1+$B$10^2)),0)&gt;0,(1/$B$17)*(IF(($B$9+2*(($A97+5)/100)*SQRT(1+$B$10^2))&gt;0,(($B$9 * (($A97+5)/100))+($B$10 * (($A97+5)/100)^2))/($B$9+2*(($A97+5)/100)*SQRT(1+$B$10^2)),0)^(2/3))*SQRT($B$16),0) * (($B$9 * (($A97+5)/100)) + (($B$10 * (($A97+5)/100)^2) * $B$19)))</f>
        <v/>
      </c>
      <c r="H97" s="12" t="str">
        <f>IF(($A97+6)&gt;$B$11, "", IF(IF(($B$9+2*(($A97+6)/100)*SQRT(1+$B$10^2))&gt;0,(($B$9 * (($A97+6)/100))+($B$10 * (($A97+6)/100)^2))/($B$9+2*(($A97+6)/100)*SQRT(1+$B$10^2)),0)&gt;0,(1/$B$17)*(IF(($B$9+2*(($A97+6)/100)*SQRT(1+$B$10^2))&gt;0,(($B$9 * (($A97+6)/100))+($B$10 * (($A97+6)/100)^2))/($B$9+2*(($A97+6)/100)*SQRT(1+$B$10^2)),0)^(2/3))*SQRT($B$16),0) * (($B$9 * (($A97+6)/100)) + (($B$10 * (($A97+6)/100)^2) * $B$19)))</f>
        <v/>
      </c>
      <c r="I97" s="12" t="str">
        <f>IF(($A97+7)&gt;$B$11, "", IF(IF(($B$9+2*(($A97+7)/100)*SQRT(1+$B$10^2))&gt;0,(($B$9 * (($A97+7)/100))+($B$10 * (($A97+7)/100)^2))/($B$9+2*(($A97+7)/100)*SQRT(1+$B$10^2)),0)&gt;0,(1/$B$17)*(IF(($B$9+2*(($A97+7)/100)*SQRT(1+$B$10^2))&gt;0,(($B$9 * (($A97+7)/100))+($B$10 * (($A97+7)/100)^2))/($B$9+2*(($A97+7)/100)*SQRT(1+$B$10^2)),0)^(2/3))*SQRT($B$16),0) * (($B$9 * (($A97+7)/100)) + (($B$10 * (($A97+7)/100)^2) * $B$19)))</f>
        <v/>
      </c>
      <c r="J97" s="12" t="str">
        <f>IF(($A97+8)&gt;$B$11, "", IF(IF(($B$9+2*(($A97+8)/100)*SQRT(1+$B$10^2))&gt;0,(($B$9 * (($A97+8)/100))+($B$10 * (($A97+8)/100)^2))/($B$9+2*(($A97+8)/100)*SQRT(1+$B$10^2)),0)&gt;0,(1/$B$17)*(IF(($B$9+2*(($A97+8)/100)*SQRT(1+$B$10^2))&gt;0,(($B$9 * (($A97+8)/100))+($B$10 * (($A97+8)/100)^2))/($B$9+2*(($A97+8)/100)*SQRT(1+$B$10^2)),0)^(2/3))*SQRT($B$16),0) * (($B$9 * (($A97+8)/100)) + (($B$10 * (($A97+8)/100)^2) * $B$19)))</f>
        <v/>
      </c>
      <c r="K97" s="12" t="str">
        <f>IF(($A97+9)&gt;$B$11, "", IF(IF(($B$9+2*(($A97+9)/100)*SQRT(1+$B$10^2))&gt;0,(($B$9 * (($A97+9)/100))+($B$10 * (($A97+9)/100)^2))/($B$9+2*(($A97+9)/100)*SQRT(1+$B$10^2)),0)&gt;0,(1/$B$17)*(IF(($B$9+2*(($A97+9)/100)*SQRT(1+$B$10^2))&gt;0,(($B$9 * (($A97+9)/100))+($B$10 * (($A97+9)/100)^2))/($B$9+2*(($A97+9)/100)*SQRT(1+$B$10^2)),0)^(2/3))*SQRT($B$16),0) * (($B$9 * (($A97+9)/100)) + (($B$10 * (($A97+9)/100)^2) * $B$19)))</f>
        <v/>
      </c>
    </row>
    <row r="98">
      <c r="A98" s="11">
        <v>80</v>
      </c>
      <c r="B98" s="12" t="str">
        <f>IF(($A98+0)&gt;$B$11, "", IF(IF(($B$9+2*(($A98+0)/100)*SQRT(1+$B$10^2))&gt;0,(($B$9 * (($A98+0)/100))+($B$10 * (($A98+0)/100)^2))/($B$9+2*(($A98+0)/100)*SQRT(1+$B$10^2)),0)&gt;0,(1/$B$17)*(IF(($B$9+2*(($A98+0)/100)*SQRT(1+$B$10^2))&gt;0,(($B$9 * (($A98+0)/100))+($B$10 * (($A98+0)/100)^2))/($B$9+2*(($A98+0)/100)*SQRT(1+$B$10^2)),0)^(2/3))*SQRT($B$16),0) * (($B$9 * (($A98+0)/100)) + (($B$10 * (($A98+0)/100)^2) * $B$19)))</f>
        <v/>
      </c>
      <c r="C98" s="12" t="str">
        <f>IF(($A98+1)&gt;$B$11, "", IF(IF(($B$9+2*(($A98+1)/100)*SQRT(1+$B$10^2))&gt;0,(($B$9 * (($A98+1)/100))+($B$10 * (($A98+1)/100)^2))/($B$9+2*(($A98+1)/100)*SQRT(1+$B$10^2)),0)&gt;0,(1/$B$17)*(IF(($B$9+2*(($A98+1)/100)*SQRT(1+$B$10^2))&gt;0,(($B$9 * (($A98+1)/100))+($B$10 * (($A98+1)/100)^2))/($B$9+2*(($A98+1)/100)*SQRT(1+$B$10^2)),0)^(2/3))*SQRT($B$16),0) * (($B$9 * (($A98+1)/100)) + (($B$10 * (($A98+1)/100)^2) * $B$19)))</f>
        <v/>
      </c>
      <c r="D98" s="12" t="str">
        <f>IF(($A98+2)&gt;$B$11, "", IF(IF(($B$9+2*(($A98+2)/100)*SQRT(1+$B$10^2))&gt;0,(($B$9 * (($A98+2)/100))+($B$10 * (($A98+2)/100)^2))/($B$9+2*(($A98+2)/100)*SQRT(1+$B$10^2)),0)&gt;0,(1/$B$17)*(IF(($B$9+2*(($A98+2)/100)*SQRT(1+$B$10^2))&gt;0,(($B$9 * (($A98+2)/100))+($B$10 * (($A98+2)/100)^2))/($B$9+2*(($A98+2)/100)*SQRT(1+$B$10^2)),0)^(2/3))*SQRT($B$16),0) * (($B$9 * (($A98+2)/100)) + (($B$10 * (($A98+2)/100)^2) * $B$19)))</f>
        <v/>
      </c>
      <c r="E98" s="12" t="str">
        <f>IF(($A98+3)&gt;$B$11, "", IF(IF(($B$9+2*(($A98+3)/100)*SQRT(1+$B$10^2))&gt;0,(($B$9 * (($A98+3)/100))+($B$10 * (($A98+3)/100)^2))/($B$9+2*(($A98+3)/100)*SQRT(1+$B$10^2)),0)&gt;0,(1/$B$17)*(IF(($B$9+2*(($A98+3)/100)*SQRT(1+$B$10^2))&gt;0,(($B$9 * (($A98+3)/100))+($B$10 * (($A98+3)/100)^2))/($B$9+2*(($A98+3)/100)*SQRT(1+$B$10^2)),0)^(2/3))*SQRT($B$16),0) * (($B$9 * (($A98+3)/100)) + (($B$10 * (($A98+3)/100)^2) * $B$19)))</f>
        <v/>
      </c>
      <c r="F98" s="12" t="str">
        <f>IF(($A98+4)&gt;$B$11, "", IF(IF(($B$9+2*(($A98+4)/100)*SQRT(1+$B$10^2))&gt;0,(($B$9 * (($A98+4)/100))+($B$10 * (($A98+4)/100)^2))/($B$9+2*(($A98+4)/100)*SQRT(1+$B$10^2)),0)&gt;0,(1/$B$17)*(IF(($B$9+2*(($A98+4)/100)*SQRT(1+$B$10^2))&gt;0,(($B$9 * (($A98+4)/100))+($B$10 * (($A98+4)/100)^2))/($B$9+2*(($A98+4)/100)*SQRT(1+$B$10^2)),0)^(2/3))*SQRT($B$16),0) * (($B$9 * (($A98+4)/100)) + (($B$10 * (($A98+4)/100)^2) * $B$19)))</f>
        <v/>
      </c>
      <c r="G98" s="12" t="str">
        <f>IF(($A98+5)&gt;$B$11, "", IF(IF(($B$9+2*(($A98+5)/100)*SQRT(1+$B$10^2))&gt;0,(($B$9 * (($A98+5)/100))+($B$10 * (($A98+5)/100)^2))/($B$9+2*(($A98+5)/100)*SQRT(1+$B$10^2)),0)&gt;0,(1/$B$17)*(IF(($B$9+2*(($A98+5)/100)*SQRT(1+$B$10^2))&gt;0,(($B$9 * (($A98+5)/100))+($B$10 * (($A98+5)/100)^2))/($B$9+2*(($A98+5)/100)*SQRT(1+$B$10^2)),0)^(2/3))*SQRT($B$16),0) * (($B$9 * (($A98+5)/100)) + (($B$10 * (($A98+5)/100)^2) * $B$19)))</f>
        <v/>
      </c>
      <c r="H98" s="12" t="str">
        <f>IF(($A98+6)&gt;$B$11, "", IF(IF(($B$9+2*(($A98+6)/100)*SQRT(1+$B$10^2))&gt;0,(($B$9 * (($A98+6)/100))+($B$10 * (($A98+6)/100)^2))/($B$9+2*(($A98+6)/100)*SQRT(1+$B$10^2)),0)&gt;0,(1/$B$17)*(IF(($B$9+2*(($A98+6)/100)*SQRT(1+$B$10^2))&gt;0,(($B$9 * (($A98+6)/100))+($B$10 * (($A98+6)/100)^2))/($B$9+2*(($A98+6)/100)*SQRT(1+$B$10^2)),0)^(2/3))*SQRT($B$16),0) * (($B$9 * (($A98+6)/100)) + (($B$10 * (($A98+6)/100)^2) * $B$19)))</f>
        <v/>
      </c>
      <c r="I98" s="12" t="str">
        <f>IF(($A98+7)&gt;$B$11, "", IF(IF(($B$9+2*(($A98+7)/100)*SQRT(1+$B$10^2))&gt;0,(($B$9 * (($A98+7)/100))+($B$10 * (($A98+7)/100)^2))/($B$9+2*(($A98+7)/100)*SQRT(1+$B$10^2)),0)&gt;0,(1/$B$17)*(IF(($B$9+2*(($A98+7)/100)*SQRT(1+$B$10^2))&gt;0,(($B$9 * (($A98+7)/100))+($B$10 * (($A98+7)/100)^2))/($B$9+2*(($A98+7)/100)*SQRT(1+$B$10^2)),0)^(2/3))*SQRT($B$16),0) * (($B$9 * (($A98+7)/100)) + (($B$10 * (($A98+7)/100)^2) * $B$19)))</f>
        <v/>
      </c>
      <c r="J98" s="12" t="str">
        <f>IF(($A98+8)&gt;$B$11, "", IF(IF(($B$9+2*(($A98+8)/100)*SQRT(1+$B$10^2))&gt;0,(($B$9 * (($A98+8)/100))+($B$10 * (($A98+8)/100)^2))/($B$9+2*(($A98+8)/100)*SQRT(1+$B$10^2)),0)&gt;0,(1/$B$17)*(IF(($B$9+2*(($A98+8)/100)*SQRT(1+$B$10^2))&gt;0,(($B$9 * (($A98+8)/100))+($B$10 * (($A98+8)/100)^2))/($B$9+2*(($A98+8)/100)*SQRT(1+$B$10^2)),0)^(2/3))*SQRT($B$16),0) * (($B$9 * (($A98+8)/100)) + (($B$10 * (($A98+8)/100)^2) * $B$19)))</f>
        <v/>
      </c>
      <c r="K98" s="12" t="str">
        <f>IF(($A98+9)&gt;$B$11, "", IF(IF(($B$9+2*(($A98+9)/100)*SQRT(1+$B$10^2))&gt;0,(($B$9 * (($A98+9)/100))+($B$10 * (($A98+9)/100)^2))/($B$9+2*(($A98+9)/100)*SQRT(1+$B$10^2)),0)&gt;0,(1/$B$17)*(IF(($B$9+2*(($A98+9)/100)*SQRT(1+$B$10^2))&gt;0,(($B$9 * (($A98+9)/100))+($B$10 * (($A98+9)/100)^2))/($B$9+2*(($A98+9)/100)*SQRT(1+$B$10^2)),0)^(2/3))*SQRT($B$16),0) * (($B$9 * (($A98+9)/100)) + (($B$10 * (($A98+9)/100)^2) * $B$19)))</f>
        <v/>
      </c>
    </row>
    <row r="99">
      <c r="A99" s="11">
        <v>90</v>
      </c>
      <c r="B99" s="12" t="str">
        <f>IF(($A99+0)&gt;$B$11, "", IF(IF(($B$9+2*(($A99+0)/100)*SQRT(1+$B$10^2))&gt;0,(($B$9 * (($A99+0)/100))+($B$10 * (($A99+0)/100)^2))/($B$9+2*(($A99+0)/100)*SQRT(1+$B$10^2)),0)&gt;0,(1/$B$17)*(IF(($B$9+2*(($A99+0)/100)*SQRT(1+$B$10^2))&gt;0,(($B$9 * (($A99+0)/100))+($B$10 * (($A99+0)/100)^2))/($B$9+2*(($A99+0)/100)*SQRT(1+$B$10^2)),0)^(2/3))*SQRT($B$16),0) * (($B$9 * (($A99+0)/100)) + (($B$10 * (($A99+0)/100)^2) * $B$19)))</f>
        <v/>
      </c>
      <c r="C99" s="12" t="str">
        <f>IF(($A99+1)&gt;$B$11, "", IF(IF(($B$9+2*(($A99+1)/100)*SQRT(1+$B$10^2))&gt;0,(($B$9 * (($A99+1)/100))+($B$10 * (($A99+1)/100)^2))/($B$9+2*(($A99+1)/100)*SQRT(1+$B$10^2)),0)&gt;0,(1/$B$17)*(IF(($B$9+2*(($A99+1)/100)*SQRT(1+$B$10^2))&gt;0,(($B$9 * (($A99+1)/100))+($B$10 * (($A99+1)/100)^2))/($B$9+2*(($A99+1)/100)*SQRT(1+$B$10^2)),0)^(2/3))*SQRT($B$16),0) * (($B$9 * (($A99+1)/100)) + (($B$10 * (($A99+1)/100)^2) * $B$19)))</f>
        <v/>
      </c>
      <c r="D99" s="12" t="str">
        <f>IF(($A99+2)&gt;$B$11, "", IF(IF(($B$9+2*(($A99+2)/100)*SQRT(1+$B$10^2))&gt;0,(($B$9 * (($A99+2)/100))+($B$10 * (($A99+2)/100)^2))/($B$9+2*(($A99+2)/100)*SQRT(1+$B$10^2)),0)&gt;0,(1/$B$17)*(IF(($B$9+2*(($A99+2)/100)*SQRT(1+$B$10^2))&gt;0,(($B$9 * (($A99+2)/100))+($B$10 * (($A99+2)/100)^2))/($B$9+2*(($A99+2)/100)*SQRT(1+$B$10^2)),0)^(2/3))*SQRT($B$16),0) * (($B$9 * (($A99+2)/100)) + (($B$10 * (($A99+2)/100)^2) * $B$19)))</f>
        <v/>
      </c>
      <c r="E99" s="12" t="str">
        <f>IF(($A99+3)&gt;$B$11, "", IF(IF(($B$9+2*(($A99+3)/100)*SQRT(1+$B$10^2))&gt;0,(($B$9 * (($A99+3)/100))+($B$10 * (($A99+3)/100)^2))/($B$9+2*(($A99+3)/100)*SQRT(1+$B$10^2)),0)&gt;0,(1/$B$17)*(IF(($B$9+2*(($A99+3)/100)*SQRT(1+$B$10^2))&gt;0,(($B$9 * (($A99+3)/100))+($B$10 * (($A99+3)/100)^2))/($B$9+2*(($A99+3)/100)*SQRT(1+$B$10^2)),0)^(2/3))*SQRT($B$16),0) * (($B$9 * (($A99+3)/100)) + (($B$10 * (($A99+3)/100)^2) * $B$19)))</f>
        <v/>
      </c>
      <c r="F99" s="12" t="str">
        <f>IF(($A99+4)&gt;$B$11, "", IF(IF(($B$9+2*(($A99+4)/100)*SQRT(1+$B$10^2))&gt;0,(($B$9 * (($A99+4)/100))+($B$10 * (($A99+4)/100)^2))/($B$9+2*(($A99+4)/100)*SQRT(1+$B$10^2)),0)&gt;0,(1/$B$17)*(IF(($B$9+2*(($A99+4)/100)*SQRT(1+$B$10^2))&gt;0,(($B$9 * (($A99+4)/100))+($B$10 * (($A99+4)/100)^2))/($B$9+2*(($A99+4)/100)*SQRT(1+$B$10^2)),0)^(2/3))*SQRT($B$16),0) * (($B$9 * (($A99+4)/100)) + (($B$10 * (($A99+4)/100)^2) * $B$19)))</f>
        <v/>
      </c>
      <c r="G99" s="12" t="str">
        <f>IF(($A99+5)&gt;$B$11, "", IF(IF(($B$9+2*(($A99+5)/100)*SQRT(1+$B$10^2))&gt;0,(($B$9 * (($A99+5)/100))+($B$10 * (($A99+5)/100)^2))/($B$9+2*(($A99+5)/100)*SQRT(1+$B$10^2)),0)&gt;0,(1/$B$17)*(IF(($B$9+2*(($A99+5)/100)*SQRT(1+$B$10^2))&gt;0,(($B$9 * (($A99+5)/100))+($B$10 * (($A99+5)/100)^2))/($B$9+2*(($A99+5)/100)*SQRT(1+$B$10^2)),0)^(2/3))*SQRT($B$16),0) * (($B$9 * (($A99+5)/100)) + (($B$10 * (($A99+5)/100)^2) * $B$19)))</f>
        <v/>
      </c>
      <c r="H99" s="12" t="str">
        <f>IF(($A99+6)&gt;$B$11, "", IF(IF(($B$9+2*(($A99+6)/100)*SQRT(1+$B$10^2))&gt;0,(($B$9 * (($A99+6)/100))+($B$10 * (($A99+6)/100)^2))/($B$9+2*(($A99+6)/100)*SQRT(1+$B$10^2)),0)&gt;0,(1/$B$17)*(IF(($B$9+2*(($A99+6)/100)*SQRT(1+$B$10^2))&gt;0,(($B$9 * (($A99+6)/100))+($B$10 * (($A99+6)/100)^2))/($B$9+2*(($A99+6)/100)*SQRT(1+$B$10^2)),0)^(2/3))*SQRT($B$16),0) * (($B$9 * (($A99+6)/100)) + (($B$10 * (($A99+6)/100)^2) * $B$19)))</f>
        <v/>
      </c>
      <c r="I99" s="12" t="str">
        <f>IF(($A99+7)&gt;$B$11, "", IF(IF(($B$9+2*(($A99+7)/100)*SQRT(1+$B$10^2))&gt;0,(($B$9 * (($A99+7)/100))+($B$10 * (($A99+7)/100)^2))/($B$9+2*(($A99+7)/100)*SQRT(1+$B$10^2)),0)&gt;0,(1/$B$17)*(IF(($B$9+2*(($A99+7)/100)*SQRT(1+$B$10^2))&gt;0,(($B$9 * (($A99+7)/100))+($B$10 * (($A99+7)/100)^2))/($B$9+2*(($A99+7)/100)*SQRT(1+$B$10^2)),0)^(2/3))*SQRT($B$16),0) * (($B$9 * (($A99+7)/100)) + (($B$10 * (($A99+7)/100)^2) * $B$19)))</f>
        <v/>
      </c>
      <c r="J99" s="12" t="str">
        <f>IF(($A99+8)&gt;$B$11, "", IF(IF(($B$9+2*(($A99+8)/100)*SQRT(1+$B$10^2))&gt;0,(($B$9 * (($A99+8)/100))+($B$10 * (($A99+8)/100)^2))/($B$9+2*(($A99+8)/100)*SQRT(1+$B$10^2)),0)&gt;0,(1/$B$17)*(IF(($B$9+2*(($A99+8)/100)*SQRT(1+$B$10^2))&gt;0,(($B$9 * (($A99+8)/100))+($B$10 * (($A99+8)/100)^2))/($B$9+2*(($A99+8)/100)*SQRT(1+$B$10^2)),0)^(2/3))*SQRT($B$16),0) * (($B$9 * (($A99+8)/100)) + (($B$10 * (($A99+8)/100)^2) * $B$19)))</f>
        <v/>
      </c>
      <c r="K99" s="12" t="str">
        <f>IF(($A99+9)&gt;$B$11, "", IF(IF(($B$9+2*(($A99+9)/100)*SQRT(1+$B$10^2))&gt;0,(($B$9 * (($A99+9)/100))+($B$10 * (($A99+9)/100)^2))/($B$9+2*(($A99+9)/100)*SQRT(1+$B$10^2)),0)&gt;0,(1/$B$17)*(IF(($B$9+2*(($A99+9)/100)*SQRT(1+$B$10^2))&gt;0,(($B$9 * (($A99+9)/100))+($B$10 * (($A99+9)/100)^2))/($B$9+2*(($A99+9)/100)*SQRT(1+$B$10^2)),0)^(2/3))*SQRT($B$16),0) * (($B$9 * (($A99+9)/100)) + (($B$10 * (($A99+9)/100)^2) * $B$19)))</f>
        <v/>
      </c>
    </row>
    <row r="100">
      <c r="A100" s="11">
        <v>100</v>
      </c>
      <c r="B100" s="12" t="str">
        <f>IF(($A100+0)&gt;$B$11, "", IF(IF(($B$9+2*(($A100+0)/100)*SQRT(1+$B$10^2))&gt;0,(($B$9 * (($A100+0)/100))+($B$10 * (($A100+0)/100)^2))/($B$9+2*(($A100+0)/100)*SQRT(1+$B$10^2)),0)&gt;0,(1/$B$17)*(IF(($B$9+2*(($A100+0)/100)*SQRT(1+$B$10^2))&gt;0,(($B$9 * (($A100+0)/100))+($B$10 * (($A100+0)/100)^2))/($B$9+2*(($A100+0)/100)*SQRT(1+$B$10^2)),0)^(2/3))*SQRT($B$16),0) * (($B$9 * (($A100+0)/100)) + (($B$10 * (($A100+0)/100)^2) * $B$19)))</f>
        <v/>
      </c>
      <c r="C100" s="12" t="str">
        <f>IF(($A100+1)&gt;$B$11, "", IF(IF(($B$9+2*(($A100+1)/100)*SQRT(1+$B$10^2))&gt;0,(($B$9 * (($A100+1)/100))+($B$10 * (($A100+1)/100)^2))/($B$9+2*(($A100+1)/100)*SQRT(1+$B$10^2)),0)&gt;0,(1/$B$17)*(IF(($B$9+2*(($A100+1)/100)*SQRT(1+$B$10^2))&gt;0,(($B$9 * (($A100+1)/100))+($B$10 * (($A100+1)/100)^2))/($B$9+2*(($A100+1)/100)*SQRT(1+$B$10^2)),0)^(2/3))*SQRT($B$16),0) * (($B$9 * (($A100+1)/100)) + (($B$10 * (($A100+1)/100)^2) * $B$19)))</f>
        <v/>
      </c>
      <c r="D100" s="12" t="str">
        <f>IF(($A100+2)&gt;$B$11, "", IF(IF(($B$9+2*(($A100+2)/100)*SQRT(1+$B$10^2))&gt;0,(($B$9 * (($A100+2)/100))+($B$10 * (($A100+2)/100)^2))/($B$9+2*(($A100+2)/100)*SQRT(1+$B$10^2)),0)&gt;0,(1/$B$17)*(IF(($B$9+2*(($A100+2)/100)*SQRT(1+$B$10^2))&gt;0,(($B$9 * (($A100+2)/100))+($B$10 * (($A100+2)/100)^2))/($B$9+2*(($A100+2)/100)*SQRT(1+$B$10^2)),0)^(2/3))*SQRT($B$16),0) * (($B$9 * (($A100+2)/100)) + (($B$10 * (($A100+2)/100)^2) * $B$19)))</f>
        <v/>
      </c>
      <c r="E100" s="12" t="str">
        <f>IF(($A100+3)&gt;$B$11, "", IF(IF(($B$9+2*(($A100+3)/100)*SQRT(1+$B$10^2))&gt;0,(($B$9 * (($A100+3)/100))+($B$10 * (($A100+3)/100)^2))/($B$9+2*(($A100+3)/100)*SQRT(1+$B$10^2)),0)&gt;0,(1/$B$17)*(IF(($B$9+2*(($A100+3)/100)*SQRT(1+$B$10^2))&gt;0,(($B$9 * (($A100+3)/100))+($B$10 * (($A100+3)/100)^2))/($B$9+2*(($A100+3)/100)*SQRT(1+$B$10^2)),0)^(2/3))*SQRT($B$16),0) * (($B$9 * (($A100+3)/100)) + (($B$10 * (($A100+3)/100)^2) * $B$19)))</f>
        <v/>
      </c>
      <c r="F100" s="12" t="str">
        <f>IF(($A100+4)&gt;$B$11, "", IF(IF(($B$9+2*(($A100+4)/100)*SQRT(1+$B$10^2))&gt;0,(($B$9 * (($A100+4)/100))+($B$10 * (($A100+4)/100)^2))/($B$9+2*(($A100+4)/100)*SQRT(1+$B$10^2)),0)&gt;0,(1/$B$17)*(IF(($B$9+2*(($A100+4)/100)*SQRT(1+$B$10^2))&gt;0,(($B$9 * (($A100+4)/100))+($B$10 * (($A100+4)/100)^2))/($B$9+2*(($A100+4)/100)*SQRT(1+$B$10^2)),0)^(2/3))*SQRT($B$16),0) * (($B$9 * (($A100+4)/100)) + (($B$10 * (($A100+4)/100)^2) * $B$19)))</f>
        <v/>
      </c>
      <c r="G100" s="12" t="str">
        <f>IF(($A100+5)&gt;$B$11, "", IF(IF(($B$9+2*(($A100+5)/100)*SQRT(1+$B$10^2))&gt;0,(($B$9 * (($A100+5)/100))+($B$10 * (($A100+5)/100)^2))/($B$9+2*(($A100+5)/100)*SQRT(1+$B$10^2)),0)&gt;0,(1/$B$17)*(IF(($B$9+2*(($A100+5)/100)*SQRT(1+$B$10^2))&gt;0,(($B$9 * (($A100+5)/100))+($B$10 * (($A100+5)/100)^2))/($B$9+2*(($A100+5)/100)*SQRT(1+$B$10^2)),0)^(2/3))*SQRT($B$16),0) * (($B$9 * (($A100+5)/100)) + (($B$10 * (($A100+5)/100)^2) * $B$19)))</f>
        <v/>
      </c>
      <c r="H100" s="12" t="str">
        <f>IF(($A100+6)&gt;$B$11, "", IF(IF(($B$9+2*(($A100+6)/100)*SQRT(1+$B$10^2))&gt;0,(($B$9 * (($A100+6)/100))+($B$10 * (($A100+6)/100)^2))/($B$9+2*(($A100+6)/100)*SQRT(1+$B$10^2)),0)&gt;0,(1/$B$17)*(IF(($B$9+2*(($A100+6)/100)*SQRT(1+$B$10^2))&gt;0,(($B$9 * (($A100+6)/100))+($B$10 * (($A100+6)/100)^2))/($B$9+2*(($A100+6)/100)*SQRT(1+$B$10^2)),0)^(2/3))*SQRT($B$16),0) * (($B$9 * (($A100+6)/100)) + (($B$10 * (($A100+6)/100)^2) * $B$19)))</f>
        <v/>
      </c>
      <c r="I100" s="12" t="str">
        <f>IF(($A100+7)&gt;$B$11, "", IF(IF(($B$9+2*(($A100+7)/100)*SQRT(1+$B$10^2))&gt;0,(($B$9 * (($A100+7)/100))+($B$10 * (($A100+7)/100)^2))/($B$9+2*(($A100+7)/100)*SQRT(1+$B$10^2)),0)&gt;0,(1/$B$17)*(IF(($B$9+2*(($A100+7)/100)*SQRT(1+$B$10^2))&gt;0,(($B$9 * (($A100+7)/100))+($B$10 * (($A100+7)/100)^2))/($B$9+2*(($A100+7)/100)*SQRT(1+$B$10^2)),0)^(2/3))*SQRT($B$16),0) * (($B$9 * (($A100+7)/100)) + (($B$10 * (($A100+7)/100)^2) * $B$19)))</f>
        <v/>
      </c>
      <c r="J100" s="12" t="str">
        <f>IF(($A100+8)&gt;$B$11, "", IF(IF(($B$9+2*(($A100+8)/100)*SQRT(1+$B$10^2))&gt;0,(($B$9 * (($A100+8)/100))+($B$10 * (($A100+8)/100)^2))/($B$9+2*(($A100+8)/100)*SQRT(1+$B$10^2)),0)&gt;0,(1/$B$17)*(IF(($B$9+2*(($A100+8)/100)*SQRT(1+$B$10^2))&gt;0,(($B$9 * (($A100+8)/100))+($B$10 * (($A100+8)/100)^2))/($B$9+2*(($A100+8)/100)*SQRT(1+$B$10^2)),0)^(2/3))*SQRT($B$16),0) * (($B$9 * (($A100+8)/100)) + (($B$10 * (($A100+8)/100)^2) * $B$19)))</f>
        <v/>
      </c>
      <c r="K100" s="12" t="str">
        <f>IF(($A100+9)&gt;$B$11, "", IF(IF(($B$9+2*(($A100+9)/100)*SQRT(1+$B$10^2))&gt;0,(($B$9 * (($A100+9)/100))+($B$10 * (($A100+9)/100)^2))/($B$9+2*(($A100+9)/100)*SQRT(1+$B$10^2)),0)&gt;0,(1/$B$17)*(IF(($B$9+2*(($A100+9)/100)*SQRT(1+$B$10^2))&gt;0,(($B$9 * (($A100+9)/100))+($B$10 * (($A100+9)/100)^2))/($B$9+2*(($A100+9)/100)*SQRT(1+$B$10^2)),0)^(2/3))*SQRT($B$16),0) * (($B$9 * (($A100+9)/100)) + (($B$10 * (($A100+9)/100)^2) * $B$19)))</f>
        <v/>
      </c>
    </row>
    <row r="101">
      <c r="A101" s="11">
        <v>110</v>
      </c>
      <c r="B101" s="12" t="str">
        <f>IF(($A101+0)&gt;$B$11, "", IF(IF(($B$9+2*(($A101+0)/100)*SQRT(1+$B$10^2))&gt;0,(($B$9 * (($A101+0)/100))+($B$10 * (($A101+0)/100)^2))/($B$9+2*(($A101+0)/100)*SQRT(1+$B$10^2)),0)&gt;0,(1/$B$17)*(IF(($B$9+2*(($A101+0)/100)*SQRT(1+$B$10^2))&gt;0,(($B$9 * (($A101+0)/100))+($B$10 * (($A101+0)/100)^2))/($B$9+2*(($A101+0)/100)*SQRT(1+$B$10^2)),0)^(2/3))*SQRT($B$16),0) * (($B$9 * (($A101+0)/100)) + (($B$10 * (($A101+0)/100)^2) * $B$19)))</f>
        <v/>
      </c>
      <c r="C101" s="12" t="str">
        <f>IF(($A101+1)&gt;$B$11, "", IF(IF(($B$9+2*(($A101+1)/100)*SQRT(1+$B$10^2))&gt;0,(($B$9 * (($A101+1)/100))+($B$10 * (($A101+1)/100)^2))/($B$9+2*(($A101+1)/100)*SQRT(1+$B$10^2)),0)&gt;0,(1/$B$17)*(IF(($B$9+2*(($A101+1)/100)*SQRT(1+$B$10^2))&gt;0,(($B$9 * (($A101+1)/100))+($B$10 * (($A101+1)/100)^2))/($B$9+2*(($A101+1)/100)*SQRT(1+$B$10^2)),0)^(2/3))*SQRT($B$16),0) * (($B$9 * (($A101+1)/100)) + (($B$10 * (($A101+1)/100)^2) * $B$19)))</f>
        <v/>
      </c>
      <c r="D101" s="12" t="str">
        <f>IF(($A101+2)&gt;$B$11, "", IF(IF(($B$9+2*(($A101+2)/100)*SQRT(1+$B$10^2))&gt;0,(($B$9 * (($A101+2)/100))+($B$10 * (($A101+2)/100)^2))/($B$9+2*(($A101+2)/100)*SQRT(1+$B$10^2)),0)&gt;0,(1/$B$17)*(IF(($B$9+2*(($A101+2)/100)*SQRT(1+$B$10^2))&gt;0,(($B$9 * (($A101+2)/100))+($B$10 * (($A101+2)/100)^2))/($B$9+2*(($A101+2)/100)*SQRT(1+$B$10^2)),0)^(2/3))*SQRT($B$16),0) * (($B$9 * (($A101+2)/100)) + (($B$10 * (($A101+2)/100)^2) * $B$19)))</f>
        <v/>
      </c>
      <c r="E101" s="12" t="str">
        <f>IF(($A101+3)&gt;$B$11, "", IF(IF(($B$9+2*(($A101+3)/100)*SQRT(1+$B$10^2))&gt;0,(($B$9 * (($A101+3)/100))+($B$10 * (($A101+3)/100)^2))/($B$9+2*(($A101+3)/100)*SQRT(1+$B$10^2)),0)&gt;0,(1/$B$17)*(IF(($B$9+2*(($A101+3)/100)*SQRT(1+$B$10^2))&gt;0,(($B$9 * (($A101+3)/100))+($B$10 * (($A101+3)/100)^2))/($B$9+2*(($A101+3)/100)*SQRT(1+$B$10^2)),0)^(2/3))*SQRT($B$16),0) * (($B$9 * (($A101+3)/100)) + (($B$10 * (($A101+3)/100)^2) * $B$19)))</f>
        <v/>
      </c>
      <c r="F101" s="12" t="str">
        <f>IF(($A101+4)&gt;$B$11, "", IF(IF(($B$9+2*(($A101+4)/100)*SQRT(1+$B$10^2))&gt;0,(($B$9 * (($A101+4)/100))+($B$10 * (($A101+4)/100)^2))/($B$9+2*(($A101+4)/100)*SQRT(1+$B$10^2)),0)&gt;0,(1/$B$17)*(IF(($B$9+2*(($A101+4)/100)*SQRT(1+$B$10^2))&gt;0,(($B$9 * (($A101+4)/100))+($B$10 * (($A101+4)/100)^2))/($B$9+2*(($A101+4)/100)*SQRT(1+$B$10^2)),0)^(2/3))*SQRT($B$16),0) * (($B$9 * (($A101+4)/100)) + (($B$10 * (($A101+4)/100)^2) * $B$19)))</f>
        <v/>
      </c>
      <c r="G101" s="12" t="str">
        <f>IF(($A101+5)&gt;$B$11, "", IF(IF(($B$9+2*(($A101+5)/100)*SQRT(1+$B$10^2))&gt;0,(($B$9 * (($A101+5)/100))+($B$10 * (($A101+5)/100)^2))/($B$9+2*(($A101+5)/100)*SQRT(1+$B$10^2)),0)&gt;0,(1/$B$17)*(IF(($B$9+2*(($A101+5)/100)*SQRT(1+$B$10^2))&gt;0,(($B$9 * (($A101+5)/100))+($B$10 * (($A101+5)/100)^2))/($B$9+2*(($A101+5)/100)*SQRT(1+$B$10^2)),0)^(2/3))*SQRT($B$16),0) * (($B$9 * (($A101+5)/100)) + (($B$10 * (($A101+5)/100)^2) * $B$19)))</f>
        <v/>
      </c>
      <c r="H101" s="12" t="str">
        <f>IF(($A101+6)&gt;$B$11, "", IF(IF(($B$9+2*(($A101+6)/100)*SQRT(1+$B$10^2))&gt;0,(($B$9 * (($A101+6)/100))+($B$10 * (($A101+6)/100)^2))/($B$9+2*(($A101+6)/100)*SQRT(1+$B$10^2)),0)&gt;0,(1/$B$17)*(IF(($B$9+2*(($A101+6)/100)*SQRT(1+$B$10^2))&gt;0,(($B$9 * (($A101+6)/100))+($B$10 * (($A101+6)/100)^2))/($B$9+2*(($A101+6)/100)*SQRT(1+$B$10^2)),0)^(2/3))*SQRT($B$16),0) * (($B$9 * (($A101+6)/100)) + (($B$10 * (($A101+6)/100)^2) * $B$19)))</f>
        <v/>
      </c>
      <c r="I101" s="12" t="str">
        <f>IF(($A101+7)&gt;$B$11, "", IF(IF(($B$9+2*(($A101+7)/100)*SQRT(1+$B$10^2))&gt;0,(($B$9 * (($A101+7)/100))+($B$10 * (($A101+7)/100)^2))/($B$9+2*(($A101+7)/100)*SQRT(1+$B$10^2)),0)&gt;0,(1/$B$17)*(IF(($B$9+2*(($A101+7)/100)*SQRT(1+$B$10^2))&gt;0,(($B$9 * (($A101+7)/100))+($B$10 * (($A101+7)/100)^2))/($B$9+2*(($A101+7)/100)*SQRT(1+$B$10^2)),0)^(2/3))*SQRT($B$16),0) * (($B$9 * (($A101+7)/100)) + (($B$10 * (($A101+7)/100)^2) * $B$19)))</f>
        <v/>
      </c>
      <c r="J101" s="12" t="str">
        <f>IF(($A101+8)&gt;$B$11, "", IF(IF(($B$9+2*(($A101+8)/100)*SQRT(1+$B$10^2))&gt;0,(($B$9 * (($A101+8)/100))+($B$10 * (($A101+8)/100)^2))/($B$9+2*(($A101+8)/100)*SQRT(1+$B$10^2)),0)&gt;0,(1/$B$17)*(IF(($B$9+2*(($A101+8)/100)*SQRT(1+$B$10^2))&gt;0,(($B$9 * (($A101+8)/100))+($B$10 * (($A101+8)/100)^2))/($B$9+2*(($A101+8)/100)*SQRT(1+$B$10^2)),0)^(2/3))*SQRT($B$16),0) * (($B$9 * (($A101+8)/100)) + (($B$10 * (($A101+8)/100)^2) * $B$19)))</f>
        <v/>
      </c>
      <c r="K101" s="12" t="str">
        <f>IF(($A101+9)&gt;$B$11, "", IF(IF(($B$9+2*(($A101+9)/100)*SQRT(1+$B$10^2))&gt;0,(($B$9 * (($A101+9)/100))+($B$10 * (($A101+9)/100)^2))/($B$9+2*(($A101+9)/100)*SQRT(1+$B$10^2)),0)&gt;0,(1/$B$17)*(IF(($B$9+2*(($A101+9)/100)*SQRT(1+$B$10^2))&gt;0,(($B$9 * (($A101+9)/100))+($B$10 * (($A101+9)/100)^2))/($B$9+2*(($A101+9)/100)*SQRT(1+$B$10^2)),0)^(2/3))*SQRT($B$16),0) * (($B$9 * (($A101+9)/100)) + (($B$10 * (($A101+9)/100)^2) * $B$19)))</f>
        <v/>
      </c>
    </row>
    <row r="102">
      <c r="A102" s="11">
        <v>120</v>
      </c>
      <c r="B102" s="12" t="str">
        <f>IF(($A102+0)&gt;$B$11, "", IF(IF(($B$9+2*(($A102+0)/100)*SQRT(1+$B$10^2))&gt;0,(($B$9 * (($A102+0)/100))+($B$10 * (($A102+0)/100)^2))/($B$9+2*(($A102+0)/100)*SQRT(1+$B$10^2)),0)&gt;0,(1/$B$17)*(IF(($B$9+2*(($A102+0)/100)*SQRT(1+$B$10^2))&gt;0,(($B$9 * (($A102+0)/100))+($B$10 * (($A102+0)/100)^2))/($B$9+2*(($A102+0)/100)*SQRT(1+$B$10^2)),0)^(2/3))*SQRT($B$16),0) * (($B$9 * (($A102+0)/100)) + (($B$10 * (($A102+0)/100)^2) * $B$19)))</f>
        <v/>
      </c>
      <c r="C102" s="12" t="str">
        <f>IF(($A102+1)&gt;$B$11, "", IF(IF(($B$9+2*(($A102+1)/100)*SQRT(1+$B$10^2))&gt;0,(($B$9 * (($A102+1)/100))+($B$10 * (($A102+1)/100)^2))/($B$9+2*(($A102+1)/100)*SQRT(1+$B$10^2)),0)&gt;0,(1/$B$17)*(IF(($B$9+2*(($A102+1)/100)*SQRT(1+$B$10^2))&gt;0,(($B$9 * (($A102+1)/100))+($B$10 * (($A102+1)/100)^2))/($B$9+2*(($A102+1)/100)*SQRT(1+$B$10^2)),0)^(2/3))*SQRT($B$16),0) * (($B$9 * (($A102+1)/100)) + (($B$10 * (($A102+1)/100)^2) * $B$19)))</f>
        <v/>
      </c>
      <c r="D102" s="12" t="str">
        <f>IF(($A102+2)&gt;$B$11, "", IF(IF(($B$9+2*(($A102+2)/100)*SQRT(1+$B$10^2))&gt;0,(($B$9 * (($A102+2)/100))+($B$10 * (($A102+2)/100)^2))/($B$9+2*(($A102+2)/100)*SQRT(1+$B$10^2)),0)&gt;0,(1/$B$17)*(IF(($B$9+2*(($A102+2)/100)*SQRT(1+$B$10^2))&gt;0,(($B$9 * (($A102+2)/100))+($B$10 * (($A102+2)/100)^2))/($B$9+2*(($A102+2)/100)*SQRT(1+$B$10^2)),0)^(2/3))*SQRT($B$16),0) * (($B$9 * (($A102+2)/100)) + (($B$10 * (($A102+2)/100)^2) * $B$19)))</f>
        <v/>
      </c>
      <c r="E102" s="12" t="str">
        <f>IF(($A102+3)&gt;$B$11, "", IF(IF(($B$9+2*(($A102+3)/100)*SQRT(1+$B$10^2))&gt;0,(($B$9 * (($A102+3)/100))+($B$10 * (($A102+3)/100)^2))/($B$9+2*(($A102+3)/100)*SQRT(1+$B$10^2)),0)&gt;0,(1/$B$17)*(IF(($B$9+2*(($A102+3)/100)*SQRT(1+$B$10^2))&gt;0,(($B$9 * (($A102+3)/100))+($B$10 * (($A102+3)/100)^2))/($B$9+2*(($A102+3)/100)*SQRT(1+$B$10^2)),0)^(2/3))*SQRT($B$16),0) * (($B$9 * (($A102+3)/100)) + (($B$10 * (($A102+3)/100)^2) * $B$19)))</f>
        <v/>
      </c>
      <c r="F102" s="12" t="str">
        <f>IF(($A102+4)&gt;$B$11, "", IF(IF(($B$9+2*(($A102+4)/100)*SQRT(1+$B$10^2))&gt;0,(($B$9 * (($A102+4)/100))+($B$10 * (($A102+4)/100)^2))/($B$9+2*(($A102+4)/100)*SQRT(1+$B$10^2)),0)&gt;0,(1/$B$17)*(IF(($B$9+2*(($A102+4)/100)*SQRT(1+$B$10^2))&gt;0,(($B$9 * (($A102+4)/100))+($B$10 * (($A102+4)/100)^2))/($B$9+2*(($A102+4)/100)*SQRT(1+$B$10^2)),0)^(2/3))*SQRT($B$16),0) * (($B$9 * (($A102+4)/100)) + (($B$10 * (($A102+4)/100)^2) * $B$19)))</f>
        <v/>
      </c>
      <c r="G102" s="12" t="str">
        <f>IF(($A102+5)&gt;$B$11, "", IF(IF(($B$9+2*(($A102+5)/100)*SQRT(1+$B$10^2))&gt;0,(($B$9 * (($A102+5)/100))+($B$10 * (($A102+5)/100)^2))/($B$9+2*(($A102+5)/100)*SQRT(1+$B$10^2)),0)&gt;0,(1/$B$17)*(IF(($B$9+2*(($A102+5)/100)*SQRT(1+$B$10^2))&gt;0,(($B$9 * (($A102+5)/100))+($B$10 * (($A102+5)/100)^2))/($B$9+2*(($A102+5)/100)*SQRT(1+$B$10^2)),0)^(2/3))*SQRT($B$16),0) * (($B$9 * (($A102+5)/100)) + (($B$10 * (($A102+5)/100)^2) * $B$19)))</f>
        <v/>
      </c>
      <c r="H102" s="12" t="str">
        <f>IF(($A102+6)&gt;$B$11, "", IF(IF(($B$9+2*(($A102+6)/100)*SQRT(1+$B$10^2))&gt;0,(($B$9 * (($A102+6)/100))+($B$10 * (($A102+6)/100)^2))/($B$9+2*(($A102+6)/100)*SQRT(1+$B$10^2)),0)&gt;0,(1/$B$17)*(IF(($B$9+2*(($A102+6)/100)*SQRT(1+$B$10^2))&gt;0,(($B$9 * (($A102+6)/100))+($B$10 * (($A102+6)/100)^2))/($B$9+2*(($A102+6)/100)*SQRT(1+$B$10^2)),0)^(2/3))*SQRT($B$16),0) * (($B$9 * (($A102+6)/100)) + (($B$10 * (($A102+6)/100)^2) * $B$19)))</f>
        <v/>
      </c>
      <c r="I102" s="12" t="str">
        <f>IF(($A102+7)&gt;$B$11, "", IF(IF(($B$9+2*(($A102+7)/100)*SQRT(1+$B$10^2))&gt;0,(($B$9 * (($A102+7)/100))+($B$10 * (($A102+7)/100)^2))/($B$9+2*(($A102+7)/100)*SQRT(1+$B$10^2)),0)&gt;0,(1/$B$17)*(IF(($B$9+2*(($A102+7)/100)*SQRT(1+$B$10^2))&gt;0,(($B$9 * (($A102+7)/100))+($B$10 * (($A102+7)/100)^2))/($B$9+2*(($A102+7)/100)*SQRT(1+$B$10^2)),0)^(2/3))*SQRT($B$16),0) * (($B$9 * (($A102+7)/100)) + (($B$10 * (($A102+7)/100)^2) * $B$19)))</f>
        <v/>
      </c>
      <c r="J102" s="12" t="str">
        <f>IF(($A102+8)&gt;$B$11, "", IF(IF(($B$9+2*(($A102+8)/100)*SQRT(1+$B$10^2))&gt;0,(($B$9 * (($A102+8)/100))+($B$10 * (($A102+8)/100)^2))/($B$9+2*(($A102+8)/100)*SQRT(1+$B$10^2)),0)&gt;0,(1/$B$17)*(IF(($B$9+2*(($A102+8)/100)*SQRT(1+$B$10^2))&gt;0,(($B$9 * (($A102+8)/100))+($B$10 * (($A102+8)/100)^2))/($B$9+2*(($A102+8)/100)*SQRT(1+$B$10^2)),0)^(2/3))*SQRT($B$16),0) * (($B$9 * (($A102+8)/100)) + (($B$10 * (($A102+8)/100)^2) * $B$19)))</f>
        <v/>
      </c>
      <c r="K102" s="12" t="str">
        <f>IF(($A102+9)&gt;$B$11, "", IF(IF(($B$9+2*(($A102+9)/100)*SQRT(1+$B$10^2))&gt;0,(($B$9 * (($A102+9)/100))+($B$10 * (($A102+9)/100)^2))/($B$9+2*(($A102+9)/100)*SQRT(1+$B$10^2)),0)&gt;0,(1/$B$17)*(IF(($B$9+2*(($A102+9)/100)*SQRT(1+$B$10^2))&gt;0,(($B$9 * (($A102+9)/100))+($B$10 * (($A102+9)/100)^2))/($B$9+2*(($A102+9)/100)*SQRT(1+$B$10^2)),0)^(2/3))*SQRT($B$16),0) * (($B$9 * (($A102+9)/100)) + (($B$10 * (($A102+9)/100)^2) * $B$19)))</f>
        <v/>
      </c>
    </row>
    <row r="103">
      <c r="A103" s="11">
        <v>130</v>
      </c>
      <c r="B103" s="12" t="str">
        <f>IF(($A103+0)&gt;$B$11, "", IF(IF(($B$9+2*(($A103+0)/100)*SQRT(1+$B$10^2))&gt;0,(($B$9 * (($A103+0)/100))+($B$10 * (($A103+0)/100)^2))/($B$9+2*(($A103+0)/100)*SQRT(1+$B$10^2)),0)&gt;0,(1/$B$17)*(IF(($B$9+2*(($A103+0)/100)*SQRT(1+$B$10^2))&gt;0,(($B$9 * (($A103+0)/100))+($B$10 * (($A103+0)/100)^2))/($B$9+2*(($A103+0)/100)*SQRT(1+$B$10^2)),0)^(2/3))*SQRT($B$16),0) * (($B$9 * (($A103+0)/100)) + (($B$10 * (($A103+0)/100)^2) * $B$19)))</f>
        <v/>
      </c>
      <c r="C103" s="12" t="str">
        <f>IF(($A103+1)&gt;$B$11, "", IF(IF(($B$9+2*(($A103+1)/100)*SQRT(1+$B$10^2))&gt;0,(($B$9 * (($A103+1)/100))+($B$10 * (($A103+1)/100)^2))/($B$9+2*(($A103+1)/100)*SQRT(1+$B$10^2)),0)&gt;0,(1/$B$17)*(IF(($B$9+2*(($A103+1)/100)*SQRT(1+$B$10^2))&gt;0,(($B$9 * (($A103+1)/100))+($B$10 * (($A103+1)/100)^2))/($B$9+2*(($A103+1)/100)*SQRT(1+$B$10^2)),0)^(2/3))*SQRT($B$16),0) * (($B$9 * (($A103+1)/100)) + (($B$10 * (($A103+1)/100)^2) * $B$19)))</f>
        <v/>
      </c>
      <c r="D103" s="12" t="str">
        <f>IF(($A103+2)&gt;$B$11, "", IF(IF(($B$9+2*(($A103+2)/100)*SQRT(1+$B$10^2))&gt;0,(($B$9 * (($A103+2)/100))+($B$10 * (($A103+2)/100)^2))/($B$9+2*(($A103+2)/100)*SQRT(1+$B$10^2)),0)&gt;0,(1/$B$17)*(IF(($B$9+2*(($A103+2)/100)*SQRT(1+$B$10^2))&gt;0,(($B$9 * (($A103+2)/100))+($B$10 * (($A103+2)/100)^2))/($B$9+2*(($A103+2)/100)*SQRT(1+$B$10^2)),0)^(2/3))*SQRT($B$16),0) * (($B$9 * (($A103+2)/100)) + (($B$10 * (($A103+2)/100)^2) * $B$19)))</f>
        <v/>
      </c>
      <c r="E103" s="12" t="str">
        <f>IF(($A103+3)&gt;$B$11, "", IF(IF(($B$9+2*(($A103+3)/100)*SQRT(1+$B$10^2))&gt;0,(($B$9 * (($A103+3)/100))+($B$10 * (($A103+3)/100)^2))/($B$9+2*(($A103+3)/100)*SQRT(1+$B$10^2)),0)&gt;0,(1/$B$17)*(IF(($B$9+2*(($A103+3)/100)*SQRT(1+$B$10^2))&gt;0,(($B$9 * (($A103+3)/100))+($B$10 * (($A103+3)/100)^2))/($B$9+2*(($A103+3)/100)*SQRT(1+$B$10^2)),0)^(2/3))*SQRT($B$16),0) * (($B$9 * (($A103+3)/100)) + (($B$10 * (($A103+3)/100)^2) * $B$19)))</f>
        <v/>
      </c>
      <c r="F103" s="12" t="str">
        <f>IF(($A103+4)&gt;$B$11, "", IF(IF(($B$9+2*(($A103+4)/100)*SQRT(1+$B$10^2))&gt;0,(($B$9 * (($A103+4)/100))+($B$10 * (($A103+4)/100)^2))/($B$9+2*(($A103+4)/100)*SQRT(1+$B$10^2)),0)&gt;0,(1/$B$17)*(IF(($B$9+2*(($A103+4)/100)*SQRT(1+$B$10^2))&gt;0,(($B$9 * (($A103+4)/100))+($B$10 * (($A103+4)/100)^2))/($B$9+2*(($A103+4)/100)*SQRT(1+$B$10^2)),0)^(2/3))*SQRT($B$16),0) * (($B$9 * (($A103+4)/100)) + (($B$10 * (($A103+4)/100)^2) * $B$19)))</f>
        <v/>
      </c>
      <c r="G103" s="12" t="str">
        <f>IF(($A103+5)&gt;$B$11, "", IF(IF(($B$9+2*(($A103+5)/100)*SQRT(1+$B$10^2))&gt;0,(($B$9 * (($A103+5)/100))+($B$10 * (($A103+5)/100)^2))/($B$9+2*(($A103+5)/100)*SQRT(1+$B$10^2)),0)&gt;0,(1/$B$17)*(IF(($B$9+2*(($A103+5)/100)*SQRT(1+$B$10^2))&gt;0,(($B$9 * (($A103+5)/100))+($B$10 * (($A103+5)/100)^2))/($B$9+2*(($A103+5)/100)*SQRT(1+$B$10^2)),0)^(2/3))*SQRT($B$16),0) * (($B$9 * (($A103+5)/100)) + (($B$10 * (($A103+5)/100)^2) * $B$19)))</f>
        <v/>
      </c>
      <c r="H103" s="12" t="str">
        <f>IF(($A103+6)&gt;$B$11, "", IF(IF(($B$9+2*(($A103+6)/100)*SQRT(1+$B$10^2))&gt;0,(($B$9 * (($A103+6)/100))+($B$10 * (($A103+6)/100)^2))/($B$9+2*(($A103+6)/100)*SQRT(1+$B$10^2)),0)&gt;0,(1/$B$17)*(IF(($B$9+2*(($A103+6)/100)*SQRT(1+$B$10^2))&gt;0,(($B$9 * (($A103+6)/100))+($B$10 * (($A103+6)/100)^2))/($B$9+2*(($A103+6)/100)*SQRT(1+$B$10^2)),0)^(2/3))*SQRT($B$16),0) * (($B$9 * (($A103+6)/100)) + (($B$10 * (($A103+6)/100)^2) * $B$19)))</f>
        <v/>
      </c>
      <c r="I103" s="12" t="str">
        <f>IF(($A103+7)&gt;$B$11, "", IF(IF(($B$9+2*(($A103+7)/100)*SQRT(1+$B$10^2))&gt;0,(($B$9 * (($A103+7)/100))+($B$10 * (($A103+7)/100)^2))/($B$9+2*(($A103+7)/100)*SQRT(1+$B$10^2)),0)&gt;0,(1/$B$17)*(IF(($B$9+2*(($A103+7)/100)*SQRT(1+$B$10^2))&gt;0,(($B$9 * (($A103+7)/100))+($B$10 * (($A103+7)/100)^2))/($B$9+2*(($A103+7)/100)*SQRT(1+$B$10^2)),0)^(2/3))*SQRT($B$16),0) * (($B$9 * (($A103+7)/100)) + (($B$10 * (($A103+7)/100)^2) * $B$19)))</f>
        <v/>
      </c>
      <c r="J103" s="12" t="str">
        <f>IF(($A103+8)&gt;$B$11, "", IF(IF(($B$9+2*(($A103+8)/100)*SQRT(1+$B$10^2))&gt;0,(($B$9 * (($A103+8)/100))+($B$10 * (($A103+8)/100)^2))/($B$9+2*(($A103+8)/100)*SQRT(1+$B$10^2)),0)&gt;0,(1/$B$17)*(IF(($B$9+2*(($A103+8)/100)*SQRT(1+$B$10^2))&gt;0,(($B$9 * (($A103+8)/100))+($B$10 * (($A103+8)/100)^2))/($B$9+2*(($A103+8)/100)*SQRT(1+$B$10^2)),0)^(2/3))*SQRT($B$16),0) * (($B$9 * (($A103+8)/100)) + (($B$10 * (($A103+8)/100)^2) * $B$19)))</f>
        <v/>
      </c>
      <c r="K103" s="12" t="str">
        <f>IF(($A103+9)&gt;$B$11, "", IF(IF(($B$9+2*(($A103+9)/100)*SQRT(1+$B$10^2))&gt;0,(($B$9 * (($A103+9)/100))+($B$10 * (($A103+9)/100)^2))/($B$9+2*(($A103+9)/100)*SQRT(1+$B$10^2)),0)&gt;0,(1/$B$17)*(IF(($B$9+2*(($A103+9)/100)*SQRT(1+$B$10^2))&gt;0,(($B$9 * (($A103+9)/100))+($B$10 * (($A103+9)/100)^2))/($B$9+2*(($A103+9)/100)*SQRT(1+$B$10^2)),0)^(2/3))*SQRT($B$16),0) * (($B$9 * (($A103+9)/100)) + (($B$10 * (($A103+9)/100)^2) * $B$19)))</f>
        <v/>
      </c>
    </row>
    <row r="104">
      <c r="A104" s="11">
        <v>140</v>
      </c>
      <c r="B104" s="12" t="str">
        <f>IF(($A104+0)&gt;$B$11, "", IF(IF(($B$9+2*(($A104+0)/100)*SQRT(1+$B$10^2))&gt;0,(($B$9 * (($A104+0)/100))+($B$10 * (($A104+0)/100)^2))/($B$9+2*(($A104+0)/100)*SQRT(1+$B$10^2)),0)&gt;0,(1/$B$17)*(IF(($B$9+2*(($A104+0)/100)*SQRT(1+$B$10^2))&gt;0,(($B$9 * (($A104+0)/100))+($B$10 * (($A104+0)/100)^2))/($B$9+2*(($A104+0)/100)*SQRT(1+$B$10^2)),0)^(2/3))*SQRT($B$16),0) * (($B$9 * (($A104+0)/100)) + (($B$10 * (($A104+0)/100)^2) * $B$19)))</f>
        <v/>
      </c>
      <c r="C104" s="12" t="str">
        <f>IF(($A104+1)&gt;$B$11, "", IF(IF(($B$9+2*(($A104+1)/100)*SQRT(1+$B$10^2))&gt;0,(($B$9 * (($A104+1)/100))+($B$10 * (($A104+1)/100)^2))/($B$9+2*(($A104+1)/100)*SQRT(1+$B$10^2)),0)&gt;0,(1/$B$17)*(IF(($B$9+2*(($A104+1)/100)*SQRT(1+$B$10^2))&gt;0,(($B$9 * (($A104+1)/100))+($B$10 * (($A104+1)/100)^2))/($B$9+2*(($A104+1)/100)*SQRT(1+$B$10^2)),0)^(2/3))*SQRT($B$16),0) * (($B$9 * (($A104+1)/100)) + (($B$10 * (($A104+1)/100)^2) * $B$19)))</f>
        <v/>
      </c>
      <c r="D104" s="12" t="str">
        <f>IF(($A104+2)&gt;$B$11, "", IF(IF(($B$9+2*(($A104+2)/100)*SQRT(1+$B$10^2))&gt;0,(($B$9 * (($A104+2)/100))+($B$10 * (($A104+2)/100)^2))/($B$9+2*(($A104+2)/100)*SQRT(1+$B$10^2)),0)&gt;0,(1/$B$17)*(IF(($B$9+2*(($A104+2)/100)*SQRT(1+$B$10^2))&gt;0,(($B$9 * (($A104+2)/100))+($B$10 * (($A104+2)/100)^2))/($B$9+2*(($A104+2)/100)*SQRT(1+$B$10^2)),0)^(2/3))*SQRT($B$16),0) * (($B$9 * (($A104+2)/100)) + (($B$10 * (($A104+2)/100)^2) * $B$19)))</f>
        <v/>
      </c>
      <c r="E104" s="12" t="str">
        <f>IF(($A104+3)&gt;$B$11, "", IF(IF(($B$9+2*(($A104+3)/100)*SQRT(1+$B$10^2))&gt;0,(($B$9 * (($A104+3)/100))+($B$10 * (($A104+3)/100)^2))/($B$9+2*(($A104+3)/100)*SQRT(1+$B$10^2)),0)&gt;0,(1/$B$17)*(IF(($B$9+2*(($A104+3)/100)*SQRT(1+$B$10^2))&gt;0,(($B$9 * (($A104+3)/100))+($B$10 * (($A104+3)/100)^2))/($B$9+2*(($A104+3)/100)*SQRT(1+$B$10^2)),0)^(2/3))*SQRT($B$16),0) * (($B$9 * (($A104+3)/100)) + (($B$10 * (($A104+3)/100)^2) * $B$19)))</f>
        <v/>
      </c>
      <c r="F104" s="12" t="str">
        <f>IF(($A104+4)&gt;$B$11, "", IF(IF(($B$9+2*(($A104+4)/100)*SQRT(1+$B$10^2))&gt;0,(($B$9 * (($A104+4)/100))+($B$10 * (($A104+4)/100)^2))/($B$9+2*(($A104+4)/100)*SQRT(1+$B$10^2)),0)&gt;0,(1/$B$17)*(IF(($B$9+2*(($A104+4)/100)*SQRT(1+$B$10^2))&gt;0,(($B$9 * (($A104+4)/100))+($B$10 * (($A104+4)/100)^2))/($B$9+2*(($A104+4)/100)*SQRT(1+$B$10^2)),0)^(2/3))*SQRT($B$16),0) * (($B$9 * (($A104+4)/100)) + (($B$10 * (($A104+4)/100)^2) * $B$19)))</f>
        <v/>
      </c>
      <c r="G104" s="12" t="str">
        <f>IF(($A104+5)&gt;$B$11, "", IF(IF(($B$9+2*(($A104+5)/100)*SQRT(1+$B$10^2))&gt;0,(($B$9 * (($A104+5)/100))+($B$10 * (($A104+5)/100)^2))/($B$9+2*(($A104+5)/100)*SQRT(1+$B$10^2)),0)&gt;0,(1/$B$17)*(IF(($B$9+2*(($A104+5)/100)*SQRT(1+$B$10^2))&gt;0,(($B$9 * (($A104+5)/100))+($B$10 * (($A104+5)/100)^2))/($B$9+2*(($A104+5)/100)*SQRT(1+$B$10^2)),0)^(2/3))*SQRT($B$16),0) * (($B$9 * (($A104+5)/100)) + (($B$10 * (($A104+5)/100)^2) * $B$19)))</f>
        <v/>
      </c>
      <c r="H104" s="12" t="str">
        <f>IF(($A104+6)&gt;$B$11, "", IF(IF(($B$9+2*(($A104+6)/100)*SQRT(1+$B$10^2))&gt;0,(($B$9 * (($A104+6)/100))+($B$10 * (($A104+6)/100)^2))/($B$9+2*(($A104+6)/100)*SQRT(1+$B$10^2)),0)&gt;0,(1/$B$17)*(IF(($B$9+2*(($A104+6)/100)*SQRT(1+$B$10^2))&gt;0,(($B$9 * (($A104+6)/100))+($B$10 * (($A104+6)/100)^2))/($B$9+2*(($A104+6)/100)*SQRT(1+$B$10^2)),0)^(2/3))*SQRT($B$16),0) * (($B$9 * (($A104+6)/100)) + (($B$10 * (($A104+6)/100)^2) * $B$19)))</f>
        <v/>
      </c>
      <c r="I104" s="12" t="str">
        <f>IF(($A104+7)&gt;$B$11, "", IF(IF(($B$9+2*(($A104+7)/100)*SQRT(1+$B$10^2))&gt;0,(($B$9 * (($A104+7)/100))+($B$10 * (($A104+7)/100)^2))/($B$9+2*(($A104+7)/100)*SQRT(1+$B$10^2)),0)&gt;0,(1/$B$17)*(IF(($B$9+2*(($A104+7)/100)*SQRT(1+$B$10^2))&gt;0,(($B$9 * (($A104+7)/100))+($B$10 * (($A104+7)/100)^2))/($B$9+2*(($A104+7)/100)*SQRT(1+$B$10^2)),0)^(2/3))*SQRT($B$16),0) * (($B$9 * (($A104+7)/100)) + (($B$10 * (($A104+7)/100)^2) * $B$19)))</f>
        <v/>
      </c>
      <c r="J104" s="12" t="str">
        <f>IF(($A104+8)&gt;$B$11, "", IF(IF(($B$9+2*(($A104+8)/100)*SQRT(1+$B$10^2))&gt;0,(($B$9 * (($A104+8)/100))+($B$10 * (($A104+8)/100)^2))/($B$9+2*(($A104+8)/100)*SQRT(1+$B$10^2)),0)&gt;0,(1/$B$17)*(IF(($B$9+2*(($A104+8)/100)*SQRT(1+$B$10^2))&gt;0,(($B$9 * (($A104+8)/100))+($B$10 * (($A104+8)/100)^2))/($B$9+2*(($A104+8)/100)*SQRT(1+$B$10^2)),0)^(2/3))*SQRT($B$16),0) * (($B$9 * (($A104+8)/100)) + (($B$10 * (($A104+8)/100)^2) * $B$19)))</f>
        <v/>
      </c>
      <c r="K104" s="12" t="str">
        <f>IF(($A104+9)&gt;$B$11, "", IF(IF(($B$9+2*(($A104+9)/100)*SQRT(1+$B$10^2))&gt;0,(($B$9 * (($A104+9)/100))+($B$10 * (($A104+9)/100)^2))/($B$9+2*(($A104+9)/100)*SQRT(1+$B$10^2)),0)&gt;0,(1/$B$17)*(IF(($B$9+2*(($A104+9)/100)*SQRT(1+$B$10^2))&gt;0,(($B$9 * (($A104+9)/100))+($B$10 * (($A104+9)/100)^2))/($B$9+2*(($A104+9)/100)*SQRT(1+$B$10^2)),0)^(2/3))*SQRT($B$16),0) * (($B$9 * (($A104+9)/100)) + (($B$10 * (($A104+9)/100)^2) * $B$19)))</f>
        <v/>
      </c>
    </row>
    <row r="105">
      <c r="A105" s="11">
        <v>150</v>
      </c>
      <c r="B105" s="12" t="str">
        <f>IF(($A105+0)&gt;$B$11, "", IF(IF(($B$9+2*(($A105+0)/100)*SQRT(1+$B$10^2))&gt;0,(($B$9 * (($A105+0)/100))+($B$10 * (($A105+0)/100)^2))/($B$9+2*(($A105+0)/100)*SQRT(1+$B$10^2)),0)&gt;0,(1/$B$17)*(IF(($B$9+2*(($A105+0)/100)*SQRT(1+$B$10^2))&gt;0,(($B$9 * (($A105+0)/100))+($B$10 * (($A105+0)/100)^2))/($B$9+2*(($A105+0)/100)*SQRT(1+$B$10^2)),0)^(2/3))*SQRT($B$16),0) * (($B$9 * (($A105+0)/100)) + (($B$10 * (($A105+0)/100)^2) * $B$19)))</f>
        <v/>
      </c>
      <c r="C105" s="12" t="str">
        <f>IF(($A105+1)&gt;$B$11, "", IF(IF(($B$9+2*(($A105+1)/100)*SQRT(1+$B$10^2))&gt;0,(($B$9 * (($A105+1)/100))+($B$10 * (($A105+1)/100)^2))/($B$9+2*(($A105+1)/100)*SQRT(1+$B$10^2)),0)&gt;0,(1/$B$17)*(IF(($B$9+2*(($A105+1)/100)*SQRT(1+$B$10^2))&gt;0,(($B$9 * (($A105+1)/100))+($B$10 * (($A105+1)/100)^2))/($B$9+2*(($A105+1)/100)*SQRT(1+$B$10^2)),0)^(2/3))*SQRT($B$16),0) * (($B$9 * (($A105+1)/100)) + (($B$10 * (($A105+1)/100)^2) * $B$19)))</f>
        <v/>
      </c>
      <c r="D105" s="12" t="str">
        <f>IF(($A105+2)&gt;$B$11, "", IF(IF(($B$9+2*(($A105+2)/100)*SQRT(1+$B$10^2))&gt;0,(($B$9 * (($A105+2)/100))+($B$10 * (($A105+2)/100)^2))/($B$9+2*(($A105+2)/100)*SQRT(1+$B$10^2)),0)&gt;0,(1/$B$17)*(IF(($B$9+2*(($A105+2)/100)*SQRT(1+$B$10^2))&gt;0,(($B$9 * (($A105+2)/100))+($B$10 * (($A105+2)/100)^2))/($B$9+2*(($A105+2)/100)*SQRT(1+$B$10^2)),0)^(2/3))*SQRT($B$16),0) * (($B$9 * (($A105+2)/100)) + (($B$10 * (($A105+2)/100)^2) * $B$19)))</f>
        <v/>
      </c>
      <c r="E105" s="12" t="str">
        <f>IF(($A105+3)&gt;$B$11, "", IF(IF(($B$9+2*(($A105+3)/100)*SQRT(1+$B$10^2))&gt;0,(($B$9 * (($A105+3)/100))+($B$10 * (($A105+3)/100)^2))/($B$9+2*(($A105+3)/100)*SQRT(1+$B$10^2)),0)&gt;0,(1/$B$17)*(IF(($B$9+2*(($A105+3)/100)*SQRT(1+$B$10^2))&gt;0,(($B$9 * (($A105+3)/100))+($B$10 * (($A105+3)/100)^2))/($B$9+2*(($A105+3)/100)*SQRT(1+$B$10^2)),0)^(2/3))*SQRT($B$16),0) * (($B$9 * (($A105+3)/100)) + (($B$10 * (($A105+3)/100)^2) * $B$19)))</f>
        <v/>
      </c>
      <c r="F105" s="12" t="str">
        <f>IF(($A105+4)&gt;$B$11, "", IF(IF(($B$9+2*(($A105+4)/100)*SQRT(1+$B$10^2))&gt;0,(($B$9 * (($A105+4)/100))+($B$10 * (($A105+4)/100)^2))/($B$9+2*(($A105+4)/100)*SQRT(1+$B$10^2)),0)&gt;0,(1/$B$17)*(IF(($B$9+2*(($A105+4)/100)*SQRT(1+$B$10^2))&gt;0,(($B$9 * (($A105+4)/100))+($B$10 * (($A105+4)/100)^2))/($B$9+2*(($A105+4)/100)*SQRT(1+$B$10^2)),0)^(2/3))*SQRT($B$16),0) * (($B$9 * (($A105+4)/100)) + (($B$10 * (($A105+4)/100)^2) * $B$19)))</f>
        <v/>
      </c>
      <c r="G105" s="12" t="str">
        <f>IF(($A105+5)&gt;$B$11, "", IF(IF(($B$9+2*(($A105+5)/100)*SQRT(1+$B$10^2))&gt;0,(($B$9 * (($A105+5)/100))+($B$10 * (($A105+5)/100)^2))/($B$9+2*(($A105+5)/100)*SQRT(1+$B$10^2)),0)&gt;0,(1/$B$17)*(IF(($B$9+2*(($A105+5)/100)*SQRT(1+$B$10^2))&gt;0,(($B$9 * (($A105+5)/100))+($B$10 * (($A105+5)/100)^2))/($B$9+2*(($A105+5)/100)*SQRT(1+$B$10^2)),0)^(2/3))*SQRT($B$16),0) * (($B$9 * (($A105+5)/100)) + (($B$10 * (($A105+5)/100)^2) * $B$19)))</f>
        <v/>
      </c>
      <c r="H105" s="12" t="str">
        <f>IF(($A105+6)&gt;$B$11, "", IF(IF(($B$9+2*(($A105+6)/100)*SQRT(1+$B$10^2))&gt;0,(($B$9 * (($A105+6)/100))+($B$10 * (($A105+6)/100)^2))/($B$9+2*(($A105+6)/100)*SQRT(1+$B$10^2)),0)&gt;0,(1/$B$17)*(IF(($B$9+2*(($A105+6)/100)*SQRT(1+$B$10^2))&gt;0,(($B$9 * (($A105+6)/100))+($B$10 * (($A105+6)/100)^2))/($B$9+2*(($A105+6)/100)*SQRT(1+$B$10^2)),0)^(2/3))*SQRT($B$16),0) * (($B$9 * (($A105+6)/100)) + (($B$10 * (($A105+6)/100)^2) * $B$19)))</f>
        <v/>
      </c>
      <c r="I105" s="12" t="str">
        <f>IF(($A105+7)&gt;$B$11, "", IF(IF(($B$9+2*(($A105+7)/100)*SQRT(1+$B$10^2))&gt;0,(($B$9 * (($A105+7)/100))+($B$10 * (($A105+7)/100)^2))/($B$9+2*(($A105+7)/100)*SQRT(1+$B$10^2)),0)&gt;0,(1/$B$17)*(IF(($B$9+2*(($A105+7)/100)*SQRT(1+$B$10^2))&gt;0,(($B$9 * (($A105+7)/100))+($B$10 * (($A105+7)/100)^2))/($B$9+2*(($A105+7)/100)*SQRT(1+$B$10^2)),0)^(2/3))*SQRT($B$16),0) * (($B$9 * (($A105+7)/100)) + (($B$10 * (($A105+7)/100)^2) * $B$19)))</f>
        <v/>
      </c>
      <c r="J105" s="12" t="str">
        <f>IF(($A105+8)&gt;$B$11, "", IF(IF(($B$9+2*(($A105+8)/100)*SQRT(1+$B$10^2))&gt;0,(($B$9 * (($A105+8)/100))+($B$10 * (($A105+8)/100)^2))/($B$9+2*(($A105+8)/100)*SQRT(1+$B$10^2)),0)&gt;0,(1/$B$17)*(IF(($B$9+2*(($A105+8)/100)*SQRT(1+$B$10^2))&gt;0,(($B$9 * (($A105+8)/100))+($B$10 * (($A105+8)/100)^2))/($B$9+2*(($A105+8)/100)*SQRT(1+$B$10^2)),0)^(2/3))*SQRT($B$16),0) * (($B$9 * (($A105+8)/100)) + (($B$10 * (($A105+8)/100)^2) * $B$19)))</f>
        <v/>
      </c>
      <c r="K105" s="12" t="str">
        <f>IF(($A105+9)&gt;$B$11, "", IF(IF(($B$9+2*(($A105+9)/100)*SQRT(1+$B$10^2))&gt;0,(($B$9 * (($A105+9)/100))+($B$10 * (($A105+9)/100)^2))/($B$9+2*(($A105+9)/100)*SQRT(1+$B$10^2)),0)&gt;0,(1/$B$17)*(IF(($B$9+2*(($A105+9)/100)*SQRT(1+$B$10^2))&gt;0,(($B$9 * (($A105+9)/100))+($B$10 * (($A105+9)/100)^2))/($B$9+2*(($A105+9)/100)*SQRT(1+$B$10^2)),0)^(2/3))*SQRT($B$16),0) * (($B$9 * (($A105+9)/100)) + (($B$10 * (($A105+9)/100)^2) * $B$19)))</f>
        <v/>
      </c>
    </row>
    <row r="106">
      <c r="A106" s="11">
        <v>160</v>
      </c>
      <c r="B106" s="12" t="str">
        <f>IF(($A106+0)&gt;$B$11, "", IF(IF(($B$9+2*(($A106+0)/100)*SQRT(1+$B$10^2))&gt;0,(($B$9 * (($A106+0)/100))+($B$10 * (($A106+0)/100)^2))/($B$9+2*(($A106+0)/100)*SQRT(1+$B$10^2)),0)&gt;0,(1/$B$17)*(IF(($B$9+2*(($A106+0)/100)*SQRT(1+$B$10^2))&gt;0,(($B$9 * (($A106+0)/100))+($B$10 * (($A106+0)/100)^2))/($B$9+2*(($A106+0)/100)*SQRT(1+$B$10^2)),0)^(2/3))*SQRT($B$16),0) * (($B$9 * (($A106+0)/100)) + (($B$10 * (($A106+0)/100)^2) * $B$19)))</f>
        <v/>
      </c>
      <c r="C106" s="12" t="str">
        <f>IF(($A106+1)&gt;$B$11, "", IF(IF(($B$9+2*(($A106+1)/100)*SQRT(1+$B$10^2))&gt;0,(($B$9 * (($A106+1)/100))+($B$10 * (($A106+1)/100)^2))/($B$9+2*(($A106+1)/100)*SQRT(1+$B$10^2)),0)&gt;0,(1/$B$17)*(IF(($B$9+2*(($A106+1)/100)*SQRT(1+$B$10^2))&gt;0,(($B$9 * (($A106+1)/100))+($B$10 * (($A106+1)/100)^2))/($B$9+2*(($A106+1)/100)*SQRT(1+$B$10^2)),0)^(2/3))*SQRT($B$16),0) * (($B$9 * (($A106+1)/100)) + (($B$10 * (($A106+1)/100)^2) * $B$19)))</f>
        <v/>
      </c>
      <c r="D106" s="12" t="str">
        <f>IF(($A106+2)&gt;$B$11, "", IF(IF(($B$9+2*(($A106+2)/100)*SQRT(1+$B$10^2))&gt;0,(($B$9 * (($A106+2)/100))+($B$10 * (($A106+2)/100)^2))/($B$9+2*(($A106+2)/100)*SQRT(1+$B$10^2)),0)&gt;0,(1/$B$17)*(IF(($B$9+2*(($A106+2)/100)*SQRT(1+$B$10^2))&gt;0,(($B$9 * (($A106+2)/100))+($B$10 * (($A106+2)/100)^2))/($B$9+2*(($A106+2)/100)*SQRT(1+$B$10^2)),0)^(2/3))*SQRT($B$16),0) * (($B$9 * (($A106+2)/100)) + (($B$10 * (($A106+2)/100)^2) * $B$19)))</f>
        <v/>
      </c>
      <c r="E106" s="12" t="str">
        <f>IF(($A106+3)&gt;$B$11, "", IF(IF(($B$9+2*(($A106+3)/100)*SQRT(1+$B$10^2))&gt;0,(($B$9 * (($A106+3)/100))+($B$10 * (($A106+3)/100)^2))/($B$9+2*(($A106+3)/100)*SQRT(1+$B$10^2)),0)&gt;0,(1/$B$17)*(IF(($B$9+2*(($A106+3)/100)*SQRT(1+$B$10^2))&gt;0,(($B$9 * (($A106+3)/100))+($B$10 * (($A106+3)/100)^2))/($B$9+2*(($A106+3)/100)*SQRT(1+$B$10^2)),0)^(2/3))*SQRT($B$16),0) * (($B$9 * (($A106+3)/100)) + (($B$10 * (($A106+3)/100)^2) * $B$19)))</f>
        <v/>
      </c>
      <c r="F106" s="12" t="str">
        <f>IF(($A106+4)&gt;$B$11, "", IF(IF(($B$9+2*(($A106+4)/100)*SQRT(1+$B$10^2))&gt;0,(($B$9 * (($A106+4)/100))+($B$10 * (($A106+4)/100)^2))/($B$9+2*(($A106+4)/100)*SQRT(1+$B$10^2)),0)&gt;0,(1/$B$17)*(IF(($B$9+2*(($A106+4)/100)*SQRT(1+$B$10^2))&gt;0,(($B$9 * (($A106+4)/100))+($B$10 * (($A106+4)/100)^2))/($B$9+2*(($A106+4)/100)*SQRT(1+$B$10^2)),0)^(2/3))*SQRT($B$16),0) * (($B$9 * (($A106+4)/100)) + (($B$10 * (($A106+4)/100)^2) * $B$19)))</f>
        <v/>
      </c>
      <c r="G106" s="12" t="str">
        <f>IF(($A106+5)&gt;$B$11, "", IF(IF(($B$9+2*(($A106+5)/100)*SQRT(1+$B$10^2))&gt;0,(($B$9 * (($A106+5)/100))+($B$10 * (($A106+5)/100)^2))/($B$9+2*(($A106+5)/100)*SQRT(1+$B$10^2)),0)&gt;0,(1/$B$17)*(IF(($B$9+2*(($A106+5)/100)*SQRT(1+$B$10^2))&gt;0,(($B$9 * (($A106+5)/100))+($B$10 * (($A106+5)/100)^2))/($B$9+2*(($A106+5)/100)*SQRT(1+$B$10^2)),0)^(2/3))*SQRT($B$16),0) * (($B$9 * (($A106+5)/100)) + (($B$10 * (($A106+5)/100)^2) * $B$19)))</f>
        <v/>
      </c>
      <c r="H106" s="12" t="str">
        <f>IF(($A106+6)&gt;$B$11, "", IF(IF(($B$9+2*(($A106+6)/100)*SQRT(1+$B$10^2))&gt;0,(($B$9 * (($A106+6)/100))+($B$10 * (($A106+6)/100)^2))/($B$9+2*(($A106+6)/100)*SQRT(1+$B$10^2)),0)&gt;0,(1/$B$17)*(IF(($B$9+2*(($A106+6)/100)*SQRT(1+$B$10^2))&gt;0,(($B$9 * (($A106+6)/100))+($B$10 * (($A106+6)/100)^2))/($B$9+2*(($A106+6)/100)*SQRT(1+$B$10^2)),0)^(2/3))*SQRT($B$16),0) * (($B$9 * (($A106+6)/100)) + (($B$10 * (($A106+6)/100)^2) * $B$19)))</f>
        <v/>
      </c>
      <c r="I106" s="12" t="str">
        <f>IF(($A106+7)&gt;$B$11, "", IF(IF(($B$9+2*(($A106+7)/100)*SQRT(1+$B$10^2))&gt;0,(($B$9 * (($A106+7)/100))+($B$10 * (($A106+7)/100)^2))/($B$9+2*(($A106+7)/100)*SQRT(1+$B$10^2)),0)&gt;0,(1/$B$17)*(IF(($B$9+2*(($A106+7)/100)*SQRT(1+$B$10^2))&gt;0,(($B$9 * (($A106+7)/100))+($B$10 * (($A106+7)/100)^2))/($B$9+2*(($A106+7)/100)*SQRT(1+$B$10^2)),0)^(2/3))*SQRT($B$16),0) * (($B$9 * (($A106+7)/100)) + (($B$10 * (($A106+7)/100)^2) * $B$19)))</f>
        <v/>
      </c>
      <c r="J106" s="12" t="str">
        <f>IF(($A106+8)&gt;$B$11, "", IF(IF(($B$9+2*(($A106+8)/100)*SQRT(1+$B$10^2))&gt;0,(($B$9 * (($A106+8)/100))+($B$10 * (($A106+8)/100)^2))/($B$9+2*(($A106+8)/100)*SQRT(1+$B$10^2)),0)&gt;0,(1/$B$17)*(IF(($B$9+2*(($A106+8)/100)*SQRT(1+$B$10^2))&gt;0,(($B$9 * (($A106+8)/100))+($B$10 * (($A106+8)/100)^2))/($B$9+2*(($A106+8)/100)*SQRT(1+$B$10^2)),0)^(2/3))*SQRT($B$16),0) * (($B$9 * (($A106+8)/100)) + (($B$10 * (($A106+8)/100)^2) * $B$19)))</f>
        <v/>
      </c>
      <c r="K106" s="12" t="str">
        <f>IF(($A106+9)&gt;$B$11, "", IF(IF(($B$9+2*(($A106+9)/100)*SQRT(1+$B$10^2))&gt;0,(($B$9 * (($A106+9)/100))+($B$10 * (($A106+9)/100)^2))/($B$9+2*(($A106+9)/100)*SQRT(1+$B$10^2)),0)&gt;0,(1/$B$17)*(IF(($B$9+2*(($A106+9)/100)*SQRT(1+$B$10^2))&gt;0,(($B$9 * (($A106+9)/100))+($B$10 * (($A106+9)/100)^2))/($B$9+2*(($A106+9)/100)*SQRT(1+$B$10^2)),0)^(2/3))*SQRT($B$16),0) * (($B$9 * (($A106+9)/100)) + (($B$10 * (($A106+9)/100)^2) * $B$19)))</f>
        <v/>
      </c>
    </row>
    <row r="107">
      <c r="A107" s="11">
        <v>170</v>
      </c>
      <c r="B107" s="12" t="str">
        <f>IF(($A107+0)&gt;$B$11, "", IF(IF(($B$9+2*(($A107+0)/100)*SQRT(1+$B$10^2))&gt;0,(($B$9 * (($A107+0)/100))+($B$10 * (($A107+0)/100)^2))/($B$9+2*(($A107+0)/100)*SQRT(1+$B$10^2)),0)&gt;0,(1/$B$17)*(IF(($B$9+2*(($A107+0)/100)*SQRT(1+$B$10^2))&gt;0,(($B$9 * (($A107+0)/100))+($B$10 * (($A107+0)/100)^2))/($B$9+2*(($A107+0)/100)*SQRT(1+$B$10^2)),0)^(2/3))*SQRT($B$16),0) * (($B$9 * (($A107+0)/100)) + (($B$10 * (($A107+0)/100)^2) * $B$19)))</f>
        <v/>
      </c>
      <c r="C107" s="12" t="str">
        <f>IF(($A107+1)&gt;$B$11, "", IF(IF(($B$9+2*(($A107+1)/100)*SQRT(1+$B$10^2))&gt;0,(($B$9 * (($A107+1)/100))+($B$10 * (($A107+1)/100)^2))/($B$9+2*(($A107+1)/100)*SQRT(1+$B$10^2)),0)&gt;0,(1/$B$17)*(IF(($B$9+2*(($A107+1)/100)*SQRT(1+$B$10^2))&gt;0,(($B$9 * (($A107+1)/100))+($B$10 * (($A107+1)/100)^2))/($B$9+2*(($A107+1)/100)*SQRT(1+$B$10^2)),0)^(2/3))*SQRT($B$16),0) * (($B$9 * (($A107+1)/100)) + (($B$10 * (($A107+1)/100)^2) * $B$19)))</f>
        <v/>
      </c>
      <c r="D107" s="12" t="str">
        <f>IF(($A107+2)&gt;$B$11, "", IF(IF(($B$9+2*(($A107+2)/100)*SQRT(1+$B$10^2))&gt;0,(($B$9 * (($A107+2)/100))+($B$10 * (($A107+2)/100)^2))/($B$9+2*(($A107+2)/100)*SQRT(1+$B$10^2)),0)&gt;0,(1/$B$17)*(IF(($B$9+2*(($A107+2)/100)*SQRT(1+$B$10^2))&gt;0,(($B$9 * (($A107+2)/100))+($B$10 * (($A107+2)/100)^2))/($B$9+2*(($A107+2)/100)*SQRT(1+$B$10^2)),0)^(2/3))*SQRT($B$16),0) * (($B$9 * (($A107+2)/100)) + (($B$10 * (($A107+2)/100)^2) * $B$19)))</f>
        <v/>
      </c>
      <c r="E107" s="12" t="str">
        <f>IF(($A107+3)&gt;$B$11, "", IF(IF(($B$9+2*(($A107+3)/100)*SQRT(1+$B$10^2))&gt;0,(($B$9 * (($A107+3)/100))+($B$10 * (($A107+3)/100)^2))/($B$9+2*(($A107+3)/100)*SQRT(1+$B$10^2)),0)&gt;0,(1/$B$17)*(IF(($B$9+2*(($A107+3)/100)*SQRT(1+$B$10^2))&gt;0,(($B$9 * (($A107+3)/100))+($B$10 * (($A107+3)/100)^2))/($B$9+2*(($A107+3)/100)*SQRT(1+$B$10^2)),0)^(2/3))*SQRT($B$16),0) * (($B$9 * (($A107+3)/100)) + (($B$10 * (($A107+3)/100)^2) * $B$19)))</f>
        <v/>
      </c>
      <c r="F107" s="12" t="str">
        <f>IF(($A107+4)&gt;$B$11, "", IF(IF(($B$9+2*(($A107+4)/100)*SQRT(1+$B$10^2))&gt;0,(($B$9 * (($A107+4)/100))+($B$10 * (($A107+4)/100)^2))/($B$9+2*(($A107+4)/100)*SQRT(1+$B$10^2)),0)&gt;0,(1/$B$17)*(IF(($B$9+2*(($A107+4)/100)*SQRT(1+$B$10^2))&gt;0,(($B$9 * (($A107+4)/100))+($B$10 * (($A107+4)/100)^2))/($B$9+2*(($A107+4)/100)*SQRT(1+$B$10^2)),0)^(2/3))*SQRT($B$16),0) * (($B$9 * (($A107+4)/100)) + (($B$10 * (($A107+4)/100)^2) * $B$19)))</f>
        <v/>
      </c>
      <c r="G107" s="12" t="str">
        <f>IF(($A107+5)&gt;$B$11, "", IF(IF(($B$9+2*(($A107+5)/100)*SQRT(1+$B$10^2))&gt;0,(($B$9 * (($A107+5)/100))+($B$10 * (($A107+5)/100)^2))/($B$9+2*(($A107+5)/100)*SQRT(1+$B$10^2)),0)&gt;0,(1/$B$17)*(IF(($B$9+2*(($A107+5)/100)*SQRT(1+$B$10^2))&gt;0,(($B$9 * (($A107+5)/100))+($B$10 * (($A107+5)/100)^2))/($B$9+2*(($A107+5)/100)*SQRT(1+$B$10^2)),0)^(2/3))*SQRT($B$16),0) * (($B$9 * (($A107+5)/100)) + (($B$10 * (($A107+5)/100)^2) * $B$19)))</f>
        <v/>
      </c>
      <c r="H107" s="12" t="str">
        <f>IF(($A107+6)&gt;$B$11, "", IF(IF(($B$9+2*(($A107+6)/100)*SQRT(1+$B$10^2))&gt;0,(($B$9 * (($A107+6)/100))+($B$10 * (($A107+6)/100)^2))/($B$9+2*(($A107+6)/100)*SQRT(1+$B$10^2)),0)&gt;0,(1/$B$17)*(IF(($B$9+2*(($A107+6)/100)*SQRT(1+$B$10^2))&gt;0,(($B$9 * (($A107+6)/100))+($B$10 * (($A107+6)/100)^2))/($B$9+2*(($A107+6)/100)*SQRT(1+$B$10^2)),0)^(2/3))*SQRT($B$16),0) * (($B$9 * (($A107+6)/100)) + (($B$10 * (($A107+6)/100)^2) * $B$19)))</f>
        <v/>
      </c>
      <c r="I107" s="12" t="str">
        <f>IF(($A107+7)&gt;$B$11, "", IF(IF(($B$9+2*(($A107+7)/100)*SQRT(1+$B$10^2))&gt;0,(($B$9 * (($A107+7)/100))+($B$10 * (($A107+7)/100)^2))/($B$9+2*(($A107+7)/100)*SQRT(1+$B$10^2)),0)&gt;0,(1/$B$17)*(IF(($B$9+2*(($A107+7)/100)*SQRT(1+$B$10^2))&gt;0,(($B$9 * (($A107+7)/100))+($B$10 * (($A107+7)/100)^2))/($B$9+2*(($A107+7)/100)*SQRT(1+$B$10^2)),0)^(2/3))*SQRT($B$16),0) * (($B$9 * (($A107+7)/100)) + (($B$10 * (($A107+7)/100)^2) * $B$19)))</f>
        <v/>
      </c>
      <c r="J107" s="12" t="str">
        <f>IF(($A107+8)&gt;$B$11, "", IF(IF(($B$9+2*(($A107+8)/100)*SQRT(1+$B$10^2))&gt;0,(($B$9 * (($A107+8)/100))+($B$10 * (($A107+8)/100)^2))/($B$9+2*(($A107+8)/100)*SQRT(1+$B$10^2)),0)&gt;0,(1/$B$17)*(IF(($B$9+2*(($A107+8)/100)*SQRT(1+$B$10^2))&gt;0,(($B$9 * (($A107+8)/100))+($B$10 * (($A107+8)/100)^2))/($B$9+2*(($A107+8)/100)*SQRT(1+$B$10^2)),0)^(2/3))*SQRT($B$16),0) * (($B$9 * (($A107+8)/100)) + (($B$10 * (($A107+8)/100)^2) * $B$19)))</f>
        <v/>
      </c>
      <c r="K107" s="12" t="str">
        <f>IF(($A107+9)&gt;$B$11, "", IF(IF(($B$9+2*(($A107+9)/100)*SQRT(1+$B$10^2))&gt;0,(($B$9 * (($A107+9)/100))+($B$10 * (($A107+9)/100)^2))/($B$9+2*(($A107+9)/100)*SQRT(1+$B$10^2)),0)&gt;0,(1/$B$17)*(IF(($B$9+2*(($A107+9)/100)*SQRT(1+$B$10^2))&gt;0,(($B$9 * (($A107+9)/100))+($B$10 * (($A107+9)/100)^2))/($B$9+2*(($A107+9)/100)*SQRT(1+$B$10^2)),0)^(2/3))*SQRT($B$16),0) * (($B$9 * (($A107+9)/100)) + (($B$10 * (($A107+9)/100)^2) * $B$19)))</f>
        <v/>
      </c>
    </row>
    <row r="108">
      <c r="A108" s="11">
        <v>180</v>
      </c>
      <c r="B108" s="12" t="str">
        <f>IF(($A108+0)&gt;$B$11, "", IF(IF(($B$9+2*(($A108+0)/100)*SQRT(1+$B$10^2))&gt;0,(($B$9 * (($A108+0)/100))+($B$10 * (($A108+0)/100)^2))/($B$9+2*(($A108+0)/100)*SQRT(1+$B$10^2)),0)&gt;0,(1/$B$17)*(IF(($B$9+2*(($A108+0)/100)*SQRT(1+$B$10^2))&gt;0,(($B$9 * (($A108+0)/100))+($B$10 * (($A108+0)/100)^2))/($B$9+2*(($A108+0)/100)*SQRT(1+$B$10^2)),0)^(2/3))*SQRT($B$16),0) * (($B$9 * (($A108+0)/100)) + (($B$10 * (($A108+0)/100)^2) * $B$19)))</f>
        <v/>
      </c>
      <c r="C108" s="12" t="str">
        <f>IF(($A108+1)&gt;$B$11, "", IF(IF(($B$9+2*(($A108+1)/100)*SQRT(1+$B$10^2))&gt;0,(($B$9 * (($A108+1)/100))+($B$10 * (($A108+1)/100)^2))/($B$9+2*(($A108+1)/100)*SQRT(1+$B$10^2)),0)&gt;0,(1/$B$17)*(IF(($B$9+2*(($A108+1)/100)*SQRT(1+$B$10^2))&gt;0,(($B$9 * (($A108+1)/100))+($B$10 * (($A108+1)/100)^2))/($B$9+2*(($A108+1)/100)*SQRT(1+$B$10^2)),0)^(2/3))*SQRT($B$16),0) * (($B$9 * (($A108+1)/100)) + (($B$10 * (($A108+1)/100)^2) * $B$19)))</f>
        <v/>
      </c>
      <c r="D108" s="12" t="str">
        <f>IF(($A108+2)&gt;$B$11, "", IF(IF(($B$9+2*(($A108+2)/100)*SQRT(1+$B$10^2))&gt;0,(($B$9 * (($A108+2)/100))+($B$10 * (($A108+2)/100)^2))/($B$9+2*(($A108+2)/100)*SQRT(1+$B$10^2)),0)&gt;0,(1/$B$17)*(IF(($B$9+2*(($A108+2)/100)*SQRT(1+$B$10^2))&gt;0,(($B$9 * (($A108+2)/100))+($B$10 * (($A108+2)/100)^2))/($B$9+2*(($A108+2)/100)*SQRT(1+$B$10^2)),0)^(2/3))*SQRT($B$16),0) * (($B$9 * (($A108+2)/100)) + (($B$10 * (($A108+2)/100)^2) * $B$19)))</f>
        <v/>
      </c>
      <c r="E108" s="12" t="str">
        <f>IF(($A108+3)&gt;$B$11, "", IF(IF(($B$9+2*(($A108+3)/100)*SQRT(1+$B$10^2))&gt;0,(($B$9 * (($A108+3)/100))+($B$10 * (($A108+3)/100)^2))/($B$9+2*(($A108+3)/100)*SQRT(1+$B$10^2)),0)&gt;0,(1/$B$17)*(IF(($B$9+2*(($A108+3)/100)*SQRT(1+$B$10^2))&gt;0,(($B$9 * (($A108+3)/100))+($B$10 * (($A108+3)/100)^2))/($B$9+2*(($A108+3)/100)*SQRT(1+$B$10^2)),0)^(2/3))*SQRT($B$16),0) * (($B$9 * (($A108+3)/100)) + (($B$10 * (($A108+3)/100)^2) * $B$19)))</f>
        <v/>
      </c>
      <c r="F108" s="12" t="str">
        <f>IF(($A108+4)&gt;$B$11, "", IF(IF(($B$9+2*(($A108+4)/100)*SQRT(1+$B$10^2))&gt;0,(($B$9 * (($A108+4)/100))+($B$10 * (($A108+4)/100)^2))/($B$9+2*(($A108+4)/100)*SQRT(1+$B$10^2)),0)&gt;0,(1/$B$17)*(IF(($B$9+2*(($A108+4)/100)*SQRT(1+$B$10^2))&gt;0,(($B$9 * (($A108+4)/100))+($B$10 * (($A108+4)/100)^2))/($B$9+2*(($A108+4)/100)*SQRT(1+$B$10^2)),0)^(2/3))*SQRT($B$16),0) * (($B$9 * (($A108+4)/100)) + (($B$10 * (($A108+4)/100)^2) * $B$19)))</f>
        <v/>
      </c>
      <c r="G108" s="12" t="str">
        <f>IF(($A108+5)&gt;$B$11, "", IF(IF(($B$9+2*(($A108+5)/100)*SQRT(1+$B$10^2))&gt;0,(($B$9 * (($A108+5)/100))+($B$10 * (($A108+5)/100)^2))/($B$9+2*(($A108+5)/100)*SQRT(1+$B$10^2)),0)&gt;0,(1/$B$17)*(IF(($B$9+2*(($A108+5)/100)*SQRT(1+$B$10^2))&gt;0,(($B$9 * (($A108+5)/100))+($B$10 * (($A108+5)/100)^2))/($B$9+2*(($A108+5)/100)*SQRT(1+$B$10^2)),0)^(2/3))*SQRT($B$16),0) * (($B$9 * (($A108+5)/100)) + (($B$10 * (($A108+5)/100)^2) * $B$19)))</f>
        <v/>
      </c>
      <c r="H108" s="12" t="str">
        <f>IF(($A108+6)&gt;$B$11, "", IF(IF(($B$9+2*(($A108+6)/100)*SQRT(1+$B$10^2))&gt;0,(($B$9 * (($A108+6)/100))+($B$10 * (($A108+6)/100)^2))/($B$9+2*(($A108+6)/100)*SQRT(1+$B$10^2)),0)&gt;0,(1/$B$17)*(IF(($B$9+2*(($A108+6)/100)*SQRT(1+$B$10^2))&gt;0,(($B$9 * (($A108+6)/100))+($B$10 * (($A108+6)/100)^2))/($B$9+2*(($A108+6)/100)*SQRT(1+$B$10^2)),0)^(2/3))*SQRT($B$16),0) * (($B$9 * (($A108+6)/100)) + (($B$10 * (($A108+6)/100)^2) * $B$19)))</f>
        <v/>
      </c>
      <c r="I108" s="12" t="str">
        <f>IF(($A108+7)&gt;$B$11, "", IF(IF(($B$9+2*(($A108+7)/100)*SQRT(1+$B$10^2))&gt;0,(($B$9 * (($A108+7)/100))+($B$10 * (($A108+7)/100)^2))/($B$9+2*(($A108+7)/100)*SQRT(1+$B$10^2)),0)&gt;0,(1/$B$17)*(IF(($B$9+2*(($A108+7)/100)*SQRT(1+$B$10^2))&gt;0,(($B$9 * (($A108+7)/100))+($B$10 * (($A108+7)/100)^2))/($B$9+2*(($A108+7)/100)*SQRT(1+$B$10^2)),0)^(2/3))*SQRT($B$16),0) * (($B$9 * (($A108+7)/100)) + (($B$10 * (($A108+7)/100)^2) * $B$19)))</f>
        <v/>
      </c>
      <c r="J108" s="12" t="str">
        <f>IF(($A108+8)&gt;$B$11, "", IF(IF(($B$9+2*(($A108+8)/100)*SQRT(1+$B$10^2))&gt;0,(($B$9 * (($A108+8)/100))+($B$10 * (($A108+8)/100)^2))/($B$9+2*(($A108+8)/100)*SQRT(1+$B$10^2)),0)&gt;0,(1/$B$17)*(IF(($B$9+2*(($A108+8)/100)*SQRT(1+$B$10^2))&gt;0,(($B$9 * (($A108+8)/100))+($B$10 * (($A108+8)/100)^2))/($B$9+2*(($A108+8)/100)*SQRT(1+$B$10^2)),0)^(2/3))*SQRT($B$16),0) * (($B$9 * (($A108+8)/100)) + (($B$10 * (($A108+8)/100)^2) * $B$19)))</f>
        <v/>
      </c>
      <c r="K108" s="12" t="str">
        <f>IF(($A108+9)&gt;$B$11, "", IF(IF(($B$9+2*(($A108+9)/100)*SQRT(1+$B$10^2))&gt;0,(($B$9 * (($A108+9)/100))+($B$10 * (($A108+9)/100)^2))/($B$9+2*(($A108+9)/100)*SQRT(1+$B$10^2)),0)&gt;0,(1/$B$17)*(IF(($B$9+2*(($A108+9)/100)*SQRT(1+$B$10^2))&gt;0,(($B$9 * (($A108+9)/100))+($B$10 * (($A108+9)/100)^2))/($B$9+2*(($A108+9)/100)*SQRT(1+$B$10^2)),0)^(2/3))*SQRT($B$16),0) * (($B$9 * (($A108+9)/100)) + (($B$10 * (($A108+9)/100)^2) * $B$19)))</f>
        <v/>
      </c>
    </row>
    <row r="109">
      <c r="A109" s="11">
        <v>190</v>
      </c>
      <c r="B109" s="12" t="str">
        <f>IF(($A109+0)&gt;$B$11, "", IF(IF(($B$9+2*(($A109+0)/100)*SQRT(1+$B$10^2))&gt;0,(($B$9 * (($A109+0)/100))+($B$10 * (($A109+0)/100)^2))/($B$9+2*(($A109+0)/100)*SQRT(1+$B$10^2)),0)&gt;0,(1/$B$17)*(IF(($B$9+2*(($A109+0)/100)*SQRT(1+$B$10^2))&gt;0,(($B$9 * (($A109+0)/100))+($B$10 * (($A109+0)/100)^2))/($B$9+2*(($A109+0)/100)*SQRT(1+$B$10^2)),0)^(2/3))*SQRT($B$16),0) * (($B$9 * (($A109+0)/100)) + (($B$10 * (($A109+0)/100)^2) * $B$19)))</f>
        <v/>
      </c>
      <c r="C109" s="12" t="str">
        <f>IF(($A109+1)&gt;$B$11, "", IF(IF(($B$9+2*(($A109+1)/100)*SQRT(1+$B$10^2))&gt;0,(($B$9 * (($A109+1)/100))+($B$10 * (($A109+1)/100)^2))/($B$9+2*(($A109+1)/100)*SQRT(1+$B$10^2)),0)&gt;0,(1/$B$17)*(IF(($B$9+2*(($A109+1)/100)*SQRT(1+$B$10^2))&gt;0,(($B$9 * (($A109+1)/100))+($B$10 * (($A109+1)/100)^2))/($B$9+2*(($A109+1)/100)*SQRT(1+$B$10^2)),0)^(2/3))*SQRT($B$16),0) * (($B$9 * (($A109+1)/100)) + (($B$10 * (($A109+1)/100)^2) * $B$19)))</f>
        <v/>
      </c>
      <c r="D109" s="12" t="str">
        <f>IF(($A109+2)&gt;$B$11, "", IF(IF(($B$9+2*(($A109+2)/100)*SQRT(1+$B$10^2))&gt;0,(($B$9 * (($A109+2)/100))+($B$10 * (($A109+2)/100)^2))/($B$9+2*(($A109+2)/100)*SQRT(1+$B$10^2)),0)&gt;0,(1/$B$17)*(IF(($B$9+2*(($A109+2)/100)*SQRT(1+$B$10^2))&gt;0,(($B$9 * (($A109+2)/100))+($B$10 * (($A109+2)/100)^2))/($B$9+2*(($A109+2)/100)*SQRT(1+$B$10^2)),0)^(2/3))*SQRT($B$16),0) * (($B$9 * (($A109+2)/100)) + (($B$10 * (($A109+2)/100)^2) * $B$19)))</f>
        <v/>
      </c>
      <c r="E109" s="12" t="str">
        <f>IF(($A109+3)&gt;$B$11, "", IF(IF(($B$9+2*(($A109+3)/100)*SQRT(1+$B$10^2))&gt;0,(($B$9 * (($A109+3)/100))+($B$10 * (($A109+3)/100)^2))/($B$9+2*(($A109+3)/100)*SQRT(1+$B$10^2)),0)&gt;0,(1/$B$17)*(IF(($B$9+2*(($A109+3)/100)*SQRT(1+$B$10^2))&gt;0,(($B$9 * (($A109+3)/100))+($B$10 * (($A109+3)/100)^2))/($B$9+2*(($A109+3)/100)*SQRT(1+$B$10^2)),0)^(2/3))*SQRT($B$16),0) * (($B$9 * (($A109+3)/100)) + (($B$10 * (($A109+3)/100)^2) * $B$19)))</f>
        <v/>
      </c>
      <c r="F109" s="12" t="str">
        <f>IF(($A109+4)&gt;$B$11, "", IF(IF(($B$9+2*(($A109+4)/100)*SQRT(1+$B$10^2))&gt;0,(($B$9 * (($A109+4)/100))+($B$10 * (($A109+4)/100)^2))/($B$9+2*(($A109+4)/100)*SQRT(1+$B$10^2)),0)&gt;0,(1/$B$17)*(IF(($B$9+2*(($A109+4)/100)*SQRT(1+$B$10^2))&gt;0,(($B$9 * (($A109+4)/100))+($B$10 * (($A109+4)/100)^2))/($B$9+2*(($A109+4)/100)*SQRT(1+$B$10^2)),0)^(2/3))*SQRT($B$16),0) * (($B$9 * (($A109+4)/100)) + (($B$10 * (($A109+4)/100)^2) * $B$19)))</f>
        <v/>
      </c>
      <c r="G109" s="12" t="str">
        <f>IF(($A109+5)&gt;$B$11, "", IF(IF(($B$9+2*(($A109+5)/100)*SQRT(1+$B$10^2))&gt;0,(($B$9 * (($A109+5)/100))+($B$10 * (($A109+5)/100)^2))/($B$9+2*(($A109+5)/100)*SQRT(1+$B$10^2)),0)&gt;0,(1/$B$17)*(IF(($B$9+2*(($A109+5)/100)*SQRT(1+$B$10^2))&gt;0,(($B$9 * (($A109+5)/100))+($B$10 * (($A109+5)/100)^2))/($B$9+2*(($A109+5)/100)*SQRT(1+$B$10^2)),0)^(2/3))*SQRT($B$16),0) * (($B$9 * (($A109+5)/100)) + (($B$10 * (($A109+5)/100)^2) * $B$19)))</f>
        <v/>
      </c>
      <c r="H109" s="12" t="str">
        <f>IF(($A109+6)&gt;$B$11, "", IF(IF(($B$9+2*(($A109+6)/100)*SQRT(1+$B$10^2))&gt;0,(($B$9 * (($A109+6)/100))+($B$10 * (($A109+6)/100)^2))/($B$9+2*(($A109+6)/100)*SQRT(1+$B$10^2)),0)&gt;0,(1/$B$17)*(IF(($B$9+2*(($A109+6)/100)*SQRT(1+$B$10^2))&gt;0,(($B$9 * (($A109+6)/100))+($B$10 * (($A109+6)/100)^2))/($B$9+2*(($A109+6)/100)*SQRT(1+$B$10^2)),0)^(2/3))*SQRT($B$16),0) * (($B$9 * (($A109+6)/100)) + (($B$10 * (($A109+6)/100)^2) * $B$19)))</f>
        <v/>
      </c>
      <c r="I109" s="12" t="str">
        <f>IF(($A109+7)&gt;$B$11, "", IF(IF(($B$9+2*(($A109+7)/100)*SQRT(1+$B$10^2))&gt;0,(($B$9 * (($A109+7)/100))+($B$10 * (($A109+7)/100)^2))/($B$9+2*(($A109+7)/100)*SQRT(1+$B$10^2)),0)&gt;0,(1/$B$17)*(IF(($B$9+2*(($A109+7)/100)*SQRT(1+$B$10^2))&gt;0,(($B$9 * (($A109+7)/100))+($B$10 * (($A109+7)/100)^2))/($B$9+2*(($A109+7)/100)*SQRT(1+$B$10^2)),0)^(2/3))*SQRT($B$16),0) * (($B$9 * (($A109+7)/100)) + (($B$10 * (($A109+7)/100)^2) * $B$19)))</f>
        <v/>
      </c>
      <c r="J109" s="12" t="str">
        <f>IF(($A109+8)&gt;$B$11, "", IF(IF(($B$9+2*(($A109+8)/100)*SQRT(1+$B$10^2))&gt;0,(($B$9 * (($A109+8)/100))+($B$10 * (($A109+8)/100)^2))/($B$9+2*(($A109+8)/100)*SQRT(1+$B$10^2)),0)&gt;0,(1/$B$17)*(IF(($B$9+2*(($A109+8)/100)*SQRT(1+$B$10^2))&gt;0,(($B$9 * (($A109+8)/100))+($B$10 * (($A109+8)/100)^2))/($B$9+2*(($A109+8)/100)*SQRT(1+$B$10^2)),0)^(2/3))*SQRT($B$16),0) * (($B$9 * (($A109+8)/100)) + (($B$10 * (($A109+8)/100)^2) * $B$19)))</f>
        <v/>
      </c>
      <c r="K109" s="12" t="str">
        <f>IF(($A109+9)&gt;$B$11, "", IF(IF(($B$9+2*(($A109+9)/100)*SQRT(1+$B$10^2))&gt;0,(($B$9 * (($A109+9)/100))+($B$10 * (($A109+9)/100)^2))/($B$9+2*(($A109+9)/100)*SQRT(1+$B$10^2)),0)&gt;0,(1/$B$17)*(IF(($B$9+2*(($A109+9)/100)*SQRT(1+$B$10^2))&gt;0,(($B$9 * (($A109+9)/100))+($B$10 * (($A109+9)/100)^2))/($B$9+2*(($A109+9)/100)*SQRT(1+$B$10^2)),0)^(2/3))*SQRT($B$16),0) * (($B$9 * (($A109+9)/100)) + (($B$10 * (($A109+9)/100)^2) * $B$19)))</f>
        <v/>
      </c>
    </row>
    <row r="110">
      <c r="A110" s="11">
        <v>200</v>
      </c>
      <c r="B110" s="12" t="str">
        <f>IF(($A110+0)&gt;$B$11, "", IF(IF(($B$9+2*(($A110+0)/100)*SQRT(1+$B$10^2))&gt;0,(($B$9 * (($A110+0)/100))+($B$10 * (($A110+0)/100)^2))/($B$9+2*(($A110+0)/100)*SQRT(1+$B$10^2)),0)&gt;0,(1/$B$17)*(IF(($B$9+2*(($A110+0)/100)*SQRT(1+$B$10^2))&gt;0,(($B$9 * (($A110+0)/100))+($B$10 * (($A110+0)/100)^2))/($B$9+2*(($A110+0)/100)*SQRT(1+$B$10^2)),0)^(2/3))*SQRT($B$16),0) * (($B$9 * (($A110+0)/100)) + (($B$10 * (($A110+0)/100)^2) * $B$19)))</f>
        <v/>
      </c>
      <c r="C110" s="12" t="str">
        <f>IF(($A110+1)&gt;$B$11, "", IF(IF(($B$9+2*(($A110+1)/100)*SQRT(1+$B$10^2))&gt;0,(($B$9 * (($A110+1)/100))+($B$10 * (($A110+1)/100)^2))/($B$9+2*(($A110+1)/100)*SQRT(1+$B$10^2)),0)&gt;0,(1/$B$17)*(IF(($B$9+2*(($A110+1)/100)*SQRT(1+$B$10^2))&gt;0,(($B$9 * (($A110+1)/100))+($B$10 * (($A110+1)/100)^2))/($B$9+2*(($A110+1)/100)*SQRT(1+$B$10^2)),0)^(2/3))*SQRT($B$16),0) * (($B$9 * (($A110+1)/100)) + (($B$10 * (($A110+1)/100)^2) * $B$19)))</f>
        <v/>
      </c>
      <c r="D110" s="12" t="str">
        <f>IF(($A110+2)&gt;$B$11, "", IF(IF(($B$9+2*(($A110+2)/100)*SQRT(1+$B$10^2))&gt;0,(($B$9 * (($A110+2)/100))+($B$10 * (($A110+2)/100)^2))/($B$9+2*(($A110+2)/100)*SQRT(1+$B$10^2)),0)&gt;0,(1/$B$17)*(IF(($B$9+2*(($A110+2)/100)*SQRT(1+$B$10^2))&gt;0,(($B$9 * (($A110+2)/100))+($B$10 * (($A110+2)/100)^2))/($B$9+2*(($A110+2)/100)*SQRT(1+$B$10^2)),0)^(2/3))*SQRT($B$16),0) * (($B$9 * (($A110+2)/100)) + (($B$10 * (($A110+2)/100)^2) * $B$19)))</f>
        <v/>
      </c>
      <c r="E110" s="12" t="str">
        <f>IF(($A110+3)&gt;$B$11, "", IF(IF(($B$9+2*(($A110+3)/100)*SQRT(1+$B$10^2))&gt;0,(($B$9 * (($A110+3)/100))+($B$10 * (($A110+3)/100)^2))/($B$9+2*(($A110+3)/100)*SQRT(1+$B$10^2)),0)&gt;0,(1/$B$17)*(IF(($B$9+2*(($A110+3)/100)*SQRT(1+$B$10^2))&gt;0,(($B$9 * (($A110+3)/100))+($B$10 * (($A110+3)/100)^2))/($B$9+2*(($A110+3)/100)*SQRT(1+$B$10^2)),0)^(2/3))*SQRT($B$16),0) * (($B$9 * (($A110+3)/100)) + (($B$10 * (($A110+3)/100)^2) * $B$19)))</f>
        <v/>
      </c>
      <c r="F110" s="12" t="str">
        <f>IF(($A110+4)&gt;$B$11, "", IF(IF(($B$9+2*(($A110+4)/100)*SQRT(1+$B$10^2))&gt;0,(($B$9 * (($A110+4)/100))+($B$10 * (($A110+4)/100)^2))/($B$9+2*(($A110+4)/100)*SQRT(1+$B$10^2)),0)&gt;0,(1/$B$17)*(IF(($B$9+2*(($A110+4)/100)*SQRT(1+$B$10^2))&gt;0,(($B$9 * (($A110+4)/100))+($B$10 * (($A110+4)/100)^2))/($B$9+2*(($A110+4)/100)*SQRT(1+$B$10^2)),0)^(2/3))*SQRT($B$16),0) * (($B$9 * (($A110+4)/100)) + (($B$10 * (($A110+4)/100)^2) * $B$19)))</f>
        <v/>
      </c>
      <c r="G110" s="12" t="str">
        <f>IF(($A110+5)&gt;$B$11, "", IF(IF(($B$9+2*(($A110+5)/100)*SQRT(1+$B$10^2))&gt;0,(($B$9 * (($A110+5)/100))+($B$10 * (($A110+5)/100)^2))/($B$9+2*(($A110+5)/100)*SQRT(1+$B$10^2)),0)&gt;0,(1/$B$17)*(IF(($B$9+2*(($A110+5)/100)*SQRT(1+$B$10^2))&gt;0,(($B$9 * (($A110+5)/100))+($B$10 * (($A110+5)/100)^2))/($B$9+2*(($A110+5)/100)*SQRT(1+$B$10^2)),0)^(2/3))*SQRT($B$16),0) * (($B$9 * (($A110+5)/100)) + (($B$10 * (($A110+5)/100)^2) * $B$19)))</f>
        <v/>
      </c>
      <c r="H110" s="12" t="str">
        <f>IF(($A110+6)&gt;$B$11, "", IF(IF(($B$9+2*(($A110+6)/100)*SQRT(1+$B$10^2))&gt;0,(($B$9 * (($A110+6)/100))+($B$10 * (($A110+6)/100)^2))/($B$9+2*(($A110+6)/100)*SQRT(1+$B$10^2)),0)&gt;0,(1/$B$17)*(IF(($B$9+2*(($A110+6)/100)*SQRT(1+$B$10^2))&gt;0,(($B$9 * (($A110+6)/100))+($B$10 * (($A110+6)/100)^2))/($B$9+2*(($A110+6)/100)*SQRT(1+$B$10^2)),0)^(2/3))*SQRT($B$16),0) * (($B$9 * (($A110+6)/100)) + (($B$10 * (($A110+6)/100)^2) * $B$19)))</f>
        <v/>
      </c>
      <c r="I110" s="12" t="str">
        <f>IF(($A110+7)&gt;$B$11, "", IF(IF(($B$9+2*(($A110+7)/100)*SQRT(1+$B$10^2))&gt;0,(($B$9 * (($A110+7)/100))+($B$10 * (($A110+7)/100)^2))/($B$9+2*(($A110+7)/100)*SQRT(1+$B$10^2)),0)&gt;0,(1/$B$17)*(IF(($B$9+2*(($A110+7)/100)*SQRT(1+$B$10^2))&gt;0,(($B$9 * (($A110+7)/100))+($B$10 * (($A110+7)/100)^2))/($B$9+2*(($A110+7)/100)*SQRT(1+$B$10^2)),0)^(2/3))*SQRT($B$16),0) * (($B$9 * (($A110+7)/100)) + (($B$10 * (($A110+7)/100)^2) * $B$19)))</f>
        <v/>
      </c>
      <c r="J110" s="12" t="str">
        <f>IF(($A110+8)&gt;$B$11, "", IF(IF(($B$9+2*(($A110+8)/100)*SQRT(1+$B$10^2))&gt;0,(($B$9 * (($A110+8)/100))+($B$10 * (($A110+8)/100)^2))/($B$9+2*(($A110+8)/100)*SQRT(1+$B$10^2)),0)&gt;0,(1/$B$17)*(IF(($B$9+2*(($A110+8)/100)*SQRT(1+$B$10^2))&gt;0,(($B$9 * (($A110+8)/100))+($B$10 * (($A110+8)/100)^2))/($B$9+2*(($A110+8)/100)*SQRT(1+$B$10^2)),0)^(2/3))*SQRT($B$16),0) * (($B$9 * (($A110+8)/100)) + (($B$10 * (($A110+8)/100)^2) * $B$19)))</f>
        <v/>
      </c>
      <c r="K110" s="12" t="str">
        <f>IF(($A110+9)&gt;$B$11, "", IF(IF(($B$9+2*(($A110+9)/100)*SQRT(1+$B$10^2))&gt;0,(($B$9 * (($A110+9)/100))+($B$10 * (($A110+9)/100)^2))/($B$9+2*(($A110+9)/100)*SQRT(1+$B$10^2)),0)&gt;0,(1/$B$17)*(IF(($B$9+2*(($A110+9)/100)*SQRT(1+$B$10^2))&gt;0,(($B$9 * (($A110+9)/100))+($B$10 * (($A110+9)/100)^2))/($B$9+2*(($A110+9)/100)*SQRT(1+$B$10^2)),0)^(2/3))*SQRT($B$16),0) * (($B$9 * (($A110+9)/100)) + (($B$10 * (($A110+9)/100)^2) * $B$19)))</f>
        <v/>
      </c>
    </row>
    <row r="111">
      <c r="A111" s="11">
        <v>210</v>
      </c>
      <c r="B111" s="12" t="str">
        <f>IF(($A111+0)&gt;$B$11, "", IF(IF(($B$9+2*(($A111+0)/100)*SQRT(1+$B$10^2))&gt;0,(($B$9 * (($A111+0)/100))+($B$10 * (($A111+0)/100)^2))/($B$9+2*(($A111+0)/100)*SQRT(1+$B$10^2)),0)&gt;0,(1/$B$17)*(IF(($B$9+2*(($A111+0)/100)*SQRT(1+$B$10^2))&gt;0,(($B$9 * (($A111+0)/100))+($B$10 * (($A111+0)/100)^2))/($B$9+2*(($A111+0)/100)*SQRT(1+$B$10^2)),0)^(2/3))*SQRT($B$16),0) * (($B$9 * (($A111+0)/100)) + (($B$10 * (($A111+0)/100)^2) * $B$19)))</f>
        <v/>
      </c>
      <c r="C111" s="12" t="str">
        <f>IF(($A111+1)&gt;$B$11, "", IF(IF(($B$9+2*(($A111+1)/100)*SQRT(1+$B$10^2))&gt;0,(($B$9 * (($A111+1)/100))+($B$10 * (($A111+1)/100)^2))/($B$9+2*(($A111+1)/100)*SQRT(1+$B$10^2)),0)&gt;0,(1/$B$17)*(IF(($B$9+2*(($A111+1)/100)*SQRT(1+$B$10^2))&gt;0,(($B$9 * (($A111+1)/100))+($B$10 * (($A111+1)/100)^2))/($B$9+2*(($A111+1)/100)*SQRT(1+$B$10^2)),0)^(2/3))*SQRT($B$16),0) * (($B$9 * (($A111+1)/100)) + (($B$10 * (($A111+1)/100)^2) * $B$19)))</f>
        <v/>
      </c>
      <c r="D111" s="12" t="str">
        <f>IF(($A111+2)&gt;$B$11, "", IF(IF(($B$9+2*(($A111+2)/100)*SQRT(1+$B$10^2))&gt;0,(($B$9 * (($A111+2)/100))+($B$10 * (($A111+2)/100)^2))/($B$9+2*(($A111+2)/100)*SQRT(1+$B$10^2)),0)&gt;0,(1/$B$17)*(IF(($B$9+2*(($A111+2)/100)*SQRT(1+$B$10^2))&gt;0,(($B$9 * (($A111+2)/100))+($B$10 * (($A111+2)/100)^2))/($B$9+2*(($A111+2)/100)*SQRT(1+$B$10^2)),0)^(2/3))*SQRT($B$16),0) * (($B$9 * (($A111+2)/100)) + (($B$10 * (($A111+2)/100)^2) * $B$19)))</f>
        <v/>
      </c>
      <c r="E111" s="12" t="str">
        <f>IF(($A111+3)&gt;$B$11, "", IF(IF(($B$9+2*(($A111+3)/100)*SQRT(1+$B$10^2))&gt;0,(($B$9 * (($A111+3)/100))+($B$10 * (($A111+3)/100)^2))/($B$9+2*(($A111+3)/100)*SQRT(1+$B$10^2)),0)&gt;0,(1/$B$17)*(IF(($B$9+2*(($A111+3)/100)*SQRT(1+$B$10^2))&gt;0,(($B$9 * (($A111+3)/100))+($B$10 * (($A111+3)/100)^2))/($B$9+2*(($A111+3)/100)*SQRT(1+$B$10^2)),0)^(2/3))*SQRT($B$16),0) * (($B$9 * (($A111+3)/100)) + (($B$10 * (($A111+3)/100)^2) * $B$19)))</f>
        <v/>
      </c>
      <c r="F111" s="12" t="str">
        <f>IF(($A111+4)&gt;$B$11, "", IF(IF(($B$9+2*(($A111+4)/100)*SQRT(1+$B$10^2))&gt;0,(($B$9 * (($A111+4)/100))+($B$10 * (($A111+4)/100)^2))/($B$9+2*(($A111+4)/100)*SQRT(1+$B$10^2)),0)&gt;0,(1/$B$17)*(IF(($B$9+2*(($A111+4)/100)*SQRT(1+$B$10^2))&gt;0,(($B$9 * (($A111+4)/100))+($B$10 * (($A111+4)/100)^2))/($B$9+2*(($A111+4)/100)*SQRT(1+$B$10^2)),0)^(2/3))*SQRT($B$16),0) * (($B$9 * (($A111+4)/100)) + (($B$10 * (($A111+4)/100)^2) * $B$19)))</f>
        <v/>
      </c>
      <c r="G111" s="12" t="str">
        <f>IF(($A111+5)&gt;$B$11, "", IF(IF(($B$9+2*(($A111+5)/100)*SQRT(1+$B$10^2))&gt;0,(($B$9 * (($A111+5)/100))+($B$10 * (($A111+5)/100)^2))/($B$9+2*(($A111+5)/100)*SQRT(1+$B$10^2)),0)&gt;0,(1/$B$17)*(IF(($B$9+2*(($A111+5)/100)*SQRT(1+$B$10^2))&gt;0,(($B$9 * (($A111+5)/100))+($B$10 * (($A111+5)/100)^2))/($B$9+2*(($A111+5)/100)*SQRT(1+$B$10^2)),0)^(2/3))*SQRT($B$16),0) * (($B$9 * (($A111+5)/100)) + (($B$10 * (($A111+5)/100)^2) * $B$19)))</f>
        <v/>
      </c>
      <c r="H111" s="12" t="str">
        <f>IF(($A111+6)&gt;$B$11, "", IF(IF(($B$9+2*(($A111+6)/100)*SQRT(1+$B$10^2))&gt;0,(($B$9 * (($A111+6)/100))+($B$10 * (($A111+6)/100)^2))/($B$9+2*(($A111+6)/100)*SQRT(1+$B$10^2)),0)&gt;0,(1/$B$17)*(IF(($B$9+2*(($A111+6)/100)*SQRT(1+$B$10^2))&gt;0,(($B$9 * (($A111+6)/100))+($B$10 * (($A111+6)/100)^2))/($B$9+2*(($A111+6)/100)*SQRT(1+$B$10^2)),0)^(2/3))*SQRT($B$16),0) * (($B$9 * (($A111+6)/100)) + (($B$10 * (($A111+6)/100)^2) * $B$19)))</f>
        <v/>
      </c>
      <c r="I111" s="12" t="str">
        <f>IF(($A111+7)&gt;$B$11, "", IF(IF(($B$9+2*(($A111+7)/100)*SQRT(1+$B$10^2))&gt;0,(($B$9 * (($A111+7)/100))+($B$10 * (($A111+7)/100)^2))/($B$9+2*(($A111+7)/100)*SQRT(1+$B$10^2)),0)&gt;0,(1/$B$17)*(IF(($B$9+2*(($A111+7)/100)*SQRT(1+$B$10^2))&gt;0,(($B$9 * (($A111+7)/100))+($B$10 * (($A111+7)/100)^2))/($B$9+2*(($A111+7)/100)*SQRT(1+$B$10^2)),0)^(2/3))*SQRT($B$16),0) * (($B$9 * (($A111+7)/100)) + (($B$10 * (($A111+7)/100)^2) * $B$19)))</f>
        <v/>
      </c>
      <c r="J111" s="12" t="str">
        <f>IF(($A111+8)&gt;$B$11, "", IF(IF(($B$9+2*(($A111+8)/100)*SQRT(1+$B$10^2))&gt;0,(($B$9 * (($A111+8)/100))+($B$10 * (($A111+8)/100)^2))/($B$9+2*(($A111+8)/100)*SQRT(1+$B$10^2)),0)&gt;0,(1/$B$17)*(IF(($B$9+2*(($A111+8)/100)*SQRT(1+$B$10^2))&gt;0,(($B$9 * (($A111+8)/100))+($B$10 * (($A111+8)/100)^2))/($B$9+2*(($A111+8)/100)*SQRT(1+$B$10^2)),0)^(2/3))*SQRT($B$16),0) * (($B$9 * (($A111+8)/100)) + (($B$10 * (($A111+8)/100)^2) * $B$19)))</f>
        <v/>
      </c>
      <c r="K111" s="12" t="str">
        <f>IF(($A111+9)&gt;$B$11, "", IF(IF(($B$9+2*(($A111+9)/100)*SQRT(1+$B$10^2))&gt;0,(($B$9 * (($A111+9)/100))+($B$10 * (($A111+9)/100)^2))/($B$9+2*(($A111+9)/100)*SQRT(1+$B$10^2)),0)&gt;0,(1/$B$17)*(IF(($B$9+2*(($A111+9)/100)*SQRT(1+$B$10^2))&gt;0,(($B$9 * (($A111+9)/100))+($B$10 * (($A111+9)/100)^2))/($B$9+2*(($A111+9)/100)*SQRT(1+$B$10^2)),0)^(2/3))*SQRT($B$16),0) * (($B$9 * (($A111+9)/100)) + (($B$10 * (($A111+9)/100)^2) * $B$19)))</f>
        <v/>
      </c>
    </row>
    <row r="112">
      <c r="A112" s="11">
        <v>220</v>
      </c>
      <c r="B112" s="12" t="str">
        <f>IF(($A112+0)&gt;$B$11, "", IF(IF(($B$9+2*(($A112+0)/100)*SQRT(1+$B$10^2))&gt;0,(($B$9 * (($A112+0)/100))+($B$10 * (($A112+0)/100)^2))/($B$9+2*(($A112+0)/100)*SQRT(1+$B$10^2)),0)&gt;0,(1/$B$17)*(IF(($B$9+2*(($A112+0)/100)*SQRT(1+$B$10^2))&gt;0,(($B$9 * (($A112+0)/100))+($B$10 * (($A112+0)/100)^2))/($B$9+2*(($A112+0)/100)*SQRT(1+$B$10^2)),0)^(2/3))*SQRT($B$16),0) * (($B$9 * (($A112+0)/100)) + (($B$10 * (($A112+0)/100)^2) * $B$19)))</f>
        <v/>
      </c>
      <c r="C112" s="12" t="str">
        <f>IF(($A112+1)&gt;$B$11, "", IF(IF(($B$9+2*(($A112+1)/100)*SQRT(1+$B$10^2))&gt;0,(($B$9 * (($A112+1)/100))+($B$10 * (($A112+1)/100)^2))/($B$9+2*(($A112+1)/100)*SQRT(1+$B$10^2)),0)&gt;0,(1/$B$17)*(IF(($B$9+2*(($A112+1)/100)*SQRT(1+$B$10^2))&gt;0,(($B$9 * (($A112+1)/100))+($B$10 * (($A112+1)/100)^2))/($B$9+2*(($A112+1)/100)*SQRT(1+$B$10^2)),0)^(2/3))*SQRT($B$16),0) * (($B$9 * (($A112+1)/100)) + (($B$10 * (($A112+1)/100)^2) * $B$19)))</f>
        <v/>
      </c>
      <c r="D112" s="12" t="str">
        <f>IF(($A112+2)&gt;$B$11, "", IF(IF(($B$9+2*(($A112+2)/100)*SQRT(1+$B$10^2))&gt;0,(($B$9 * (($A112+2)/100))+($B$10 * (($A112+2)/100)^2))/($B$9+2*(($A112+2)/100)*SQRT(1+$B$10^2)),0)&gt;0,(1/$B$17)*(IF(($B$9+2*(($A112+2)/100)*SQRT(1+$B$10^2))&gt;0,(($B$9 * (($A112+2)/100))+($B$10 * (($A112+2)/100)^2))/($B$9+2*(($A112+2)/100)*SQRT(1+$B$10^2)),0)^(2/3))*SQRT($B$16),0) * (($B$9 * (($A112+2)/100)) + (($B$10 * (($A112+2)/100)^2) * $B$19)))</f>
        <v/>
      </c>
      <c r="E112" s="12" t="str">
        <f>IF(($A112+3)&gt;$B$11, "", IF(IF(($B$9+2*(($A112+3)/100)*SQRT(1+$B$10^2))&gt;0,(($B$9 * (($A112+3)/100))+($B$10 * (($A112+3)/100)^2))/($B$9+2*(($A112+3)/100)*SQRT(1+$B$10^2)),0)&gt;0,(1/$B$17)*(IF(($B$9+2*(($A112+3)/100)*SQRT(1+$B$10^2))&gt;0,(($B$9 * (($A112+3)/100))+($B$10 * (($A112+3)/100)^2))/($B$9+2*(($A112+3)/100)*SQRT(1+$B$10^2)),0)^(2/3))*SQRT($B$16),0) * (($B$9 * (($A112+3)/100)) + (($B$10 * (($A112+3)/100)^2) * $B$19)))</f>
        <v/>
      </c>
      <c r="F112" s="12" t="str">
        <f>IF(($A112+4)&gt;$B$11, "", IF(IF(($B$9+2*(($A112+4)/100)*SQRT(1+$B$10^2))&gt;0,(($B$9 * (($A112+4)/100))+($B$10 * (($A112+4)/100)^2))/($B$9+2*(($A112+4)/100)*SQRT(1+$B$10^2)),0)&gt;0,(1/$B$17)*(IF(($B$9+2*(($A112+4)/100)*SQRT(1+$B$10^2))&gt;0,(($B$9 * (($A112+4)/100))+($B$10 * (($A112+4)/100)^2))/($B$9+2*(($A112+4)/100)*SQRT(1+$B$10^2)),0)^(2/3))*SQRT($B$16),0) * (($B$9 * (($A112+4)/100)) + (($B$10 * (($A112+4)/100)^2) * $B$19)))</f>
        <v/>
      </c>
      <c r="G112" s="12" t="str">
        <f>IF(($A112+5)&gt;$B$11, "", IF(IF(($B$9+2*(($A112+5)/100)*SQRT(1+$B$10^2))&gt;0,(($B$9 * (($A112+5)/100))+($B$10 * (($A112+5)/100)^2))/($B$9+2*(($A112+5)/100)*SQRT(1+$B$10^2)),0)&gt;0,(1/$B$17)*(IF(($B$9+2*(($A112+5)/100)*SQRT(1+$B$10^2))&gt;0,(($B$9 * (($A112+5)/100))+($B$10 * (($A112+5)/100)^2))/($B$9+2*(($A112+5)/100)*SQRT(1+$B$10^2)),0)^(2/3))*SQRT($B$16),0) * (($B$9 * (($A112+5)/100)) + (($B$10 * (($A112+5)/100)^2) * $B$19)))</f>
        <v/>
      </c>
      <c r="H112" s="12" t="str">
        <f>IF(($A112+6)&gt;$B$11, "", IF(IF(($B$9+2*(($A112+6)/100)*SQRT(1+$B$10^2))&gt;0,(($B$9 * (($A112+6)/100))+($B$10 * (($A112+6)/100)^2))/($B$9+2*(($A112+6)/100)*SQRT(1+$B$10^2)),0)&gt;0,(1/$B$17)*(IF(($B$9+2*(($A112+6)/100)*SQRT(1+$B$10^2))&gt;0,(($B$9 * (($A112+6)/100))+($B$10 * (($A112+6)/100)^2))/($B$9+2*(($A112+6)/100)*SQRT(1+$B$10^2)),0)^(2/3))*SQRT($B$16),0) * (($B$9 * (($A112+6)/100)) + (($B$10 * (($A112+6)/100)^2) * $B$19)))</f>
        <v/>
      </c>
      <c r="I112" s="12" t="str">
        <f>IF(($A112+7)&gt;$B$11, "", IF(IF(($B$9+2*(($A112+7)/100)*SQRT(1+$B$10^2))&gt;0,(($B$9 * (($A112+7)/100))+($B$10 * (($A112+7)/100)^2))/($B$9+2*(($A112+7)/100)*SQRT(1+$B$10^2)),0)&gt;0,(1/$B$17)*(IF(($B$9+2*(($A112+7)/100)*SQRT(1+$B$10^2))&gt;0,(($B$9 * (($A112+7)/100))+($B$10 * (($A112+7)/100)^2))/($B$9+2*(($A112+7)/100)*SQRT(1+$B$10^2)),0)^(2/3))*SQRT($B$16),0) * (($B$9 * (($A112+7)/100)) + (($B$10 * (($A112+7)/100)^2) * $B$19)))</f>
        <v/>
      </c>
      <c r="J112" s="12" t="str">
        <f>IF(($A112+8)&gt;$B$11, "", IF(IF(($B$9+2*(($A112+8)/100)*SQRT(1+$B$10^2))&gt;0,(($B$9 * (($A112+8)/100))+($B$10 * (($A112+8)/100)^2))/($B$9+2*(($A112+8)/100)*SQRT(1+$B$10^2)),0)&gt;0,(1/$B$17)*(IF(($B$9+2*(($A112+8)/100)*SQRT(1+$B$10^2))&gt;0,(($B$9 * (($A112+8)/100))+($B$10 * (($A112+8)/100)^2))/($B$9+2*(($A112+8)/100)*SQRT(1+$B$10^2)),0)^(2/3))*SQRT($B$16),0) * (($B$9 * (($A112+8)/100)) + (($B$10 * (($A112+8)/100)^2) * $B$19)))</f>
        <v/>
      </c>
      <c r="K112" s="12" t="str">
        <f>IF(($A112+9)&gt;$B$11, "", IF(IF(($B$9+2*(($A112+9)/100)*SQRT(1+$B$10^2))&gt;0,(($B$9 * (($A112+9)/100))+($B$10 * (($A112+9)/100)^2))/($B$9+2*(($A112+9)/100)*SQRT(1+$B$10^2)),0)&gt;0,(1/$B$17)*(IF(($B$9+2*(($A112+9)/100)*SQRT(1+$B$10^2))&gt;0,(($B$9 * (($A112+9)/100))+($B$10 * (($A112+9)/100)^2))/($B$9+2*(($A112+9)/100)*SQRT(1+$B$10^2)),0)^(2/3))*SQRT($B$16),0) * (($B$9 * (($A112+9)/100)) + (($B$10 * (($A112+9)/100)^2) * $B$19)))</f>
        <v/>
      </c>
    </row>
    <row r="113">
      <c r="A113" s="11">
        <v>230</v>
      </c>
      <c r="B113" s="12" t="str">
        <f>IF(($A113+0)&gt;$B$11, "", IF(IF(($B$9+2*(($A113+0)/100)*SQRT(1+$B$10^2))&gt;0,(($B$9 * (($A113+0)/100))+($B$10 * (($A113+0)/100)^2))/($B$9+2*(($A113+0)/100)*SQRT(1+$B$10^2)),0)&gt;0,(1/$B$17)*(IF(($B$9+2*(($A113+0)/100)*SQRT(1+$B$10^2))&gt;0,(($B$9 * (($A113+0)/100))+($B$10 * (($A113+0)/100)^2))/($B$9+2*(($A113+0)/100)*SQRT(1+$B$10^2)),0)^(2/3))*SQRT($B$16),0) * (($B$9 * (($A113+0)/100)) + (($B$10 * (($A113+0)/100)^2) * $B$19)))</f>
        <v/>
      </c>
      <c r="C113" s="12" t="str">
        <f>IF(($A113+1)&gt;$B$11, "", IF(IF(($B$9+2*(($A113+1)/100)*SQRT(1+$B$10^2))&gt;0,(($B$9 * (($A113+1)/100))+($B$10 * (($A113+1)/100)^2))/($B$9+2*(($A113+1)/100)*SQRT(1+$B$10^2)),0)&gt;0,(1/$B$17)*(IF(($B$9+2*(($A113+1)/100)*SQRT(1+$B$10^2))&gt;0,(($B$9 * (($A113+1)/100))+($B$10 * (($A113+1)/100)^2))/($B$9+2*(($A113+1)/100)*SQRT(1+$B$10^2)),0)^(2/3))*SQRT($B$16),0) * (($B$9 * (($A113+1)/100)) + (($B$10 * (($A113+1)/100)^2) * $B$19)))</f>
        <v/>
      </c>
      <c r="D113" s="12" t="str">
        <f>IF(($A113+2)&gt;$B$11, "", IF(IF(($B$9+2*(($A113+2)/100)*SQRT(1+$B$10^2))&gt;0,(($B$9 * (($A113+2)/100))+($B$10 * (($A113+2)/100)^2))/($B$9+2*(($A113+2)/100)*SQRT(1+$B$10^2)),0)&gt;0,(1/$B$17)*(IF(($B$9+2*(($A113+2)/100)*SQRT(1+$B$10^2))&gt;0,(($B$9 * (($A113+2)/100))+($B$10 * (($A113+2)/100)^2))/($B$9+2*(($A113+2)/100)*SQRT(1+$B$10^2)),0)^(2/3))*SQRT($B$16),0) * (($B$9 * (($A113+2)/100)) + (($B$10 * (($A113+2)/100)^2) * $B$19)))</f>
        <v/>
      </c>
      <c r="E113" s="12" t="str">
        <f>IF(($A113+3)&gt;$B$11, "", IF(IF(($B$9+2*(($A113+3)/100)*SQRT(1+$B$10^2))&gt;0,(($B$9 * (($A113+3)/100))+($B$10 * (($A113+3)/100)^2))/($B$9+2*(($A113+3)/100)*SQRT(1+$B$10^2)),0)&gt;0,(1/$B$17)*(IF(($B$9+2*(($A113+3)/100)*SQRT(1+$B$10^2))&gt;0,(($B$9 * (($A113+3)/100))+($B$10 * (($A113+3)/100)^2))/($B$9+2*(($A113+3)/100)*SQRT(1+$B$10^2)),0)^(2/3))*SQRT($B$16),0) * (($B$9 * (($A113+3)/100)) + (($B$10 * (($A113+3)/100)^2) * $B$19)))</f>
        <v/>
      </c>
      <c r="F113" s="12" t="str">
        <f>IF(($A113+4)&gt;$B$11, "", IF(IF(($B$9+2*(($A113+4)/100)*SQRT(1+$B$10^2))&gt;0,(($B$9 * (($A113+4)/100))+($B$10 * (($A113+4)/100)^2))/($B$9+2*(($A113+4)/100)*SQRT(1+$B$10^2)),0)&gt;0,(1/$B$17)*(IF(($B$9+2*(($A113+4)/100)*SQRT(1+$B$10^2))&gt;0,(($B$9 * (($A113+4)/100))+($B$10 * (($A113+4)/100)^2))/($B$9+2*(($A113+4)/100)*SQRT(1+$B$10^2)),0)^(2/3))*SQRT($B$16),0) * (($B$9 * (($A113+4)/100)) + (($B$10 * (($A113+4)/100)^2) * $B$19)))</f>
        <v/>
      </c>
      <c r="G113" s="12" t="str">
        <f>IF(($A113+5)&gt;$B$11, "", IF(IF(($B$9+2*(($A113+5)/100)*SQRT(1+$B$10^2))&gt;0,(($B$9 * (($A113+5)/100))+($B$10 * (($A113+5)/100)^2))/($B$9+2*(($A113+5)/100)*SQRT(1+$B$10^2)),0)&gt;0,(1/$B$17)*(IF(($B$9+2*(($A113+5)/100)*SQRT(1+$B$10^2))&gt;0,(($B$9 * (($A113+5)/100))+($B$10 * (($A113+5)/100)^2))/($B$9+2*(($A113+5)/100)*SQRT(1+$B$10^2)),0)^(2/3))*SQRT($B$16),0) * (($B$9 * (($A113+5)/100)) + (($B$10 * (($A113+5)/100)^2) * $B$19)))</f>
        <v/>
      </c>
      <c r="H113" s="12" t="str">
        <f>IF(($A113+6)&gt;$B$11, "", IF(IF(($B$9+2*(($A113+6)/100)*SQRT(1+$B$10^2))&gt;0,(($B$9 * (($A113+6)/100))+($B$10 * (($A113+6)/100)^2))/($B$9+2*(($A113+6)/100)*SQRT(1+$B$10^2)),0)&gt;0,(1/$B$17)*(IF(($B$9+2*(($A113+6)/100)*SQRT(1+$B$10^2))&gt;0,(($B$9 * (($A113+6)/100))+($B$10 * (($A113+6)/100)^2))/($B$9+2*(($A113+6)/100)*SQRT(1+$B$10^2)),0)^(2/3))*SQRT($B$16),0) * (($B$9 * (($A113+6)/100)) + (($B$10 * (($A113+6)/100)^2) * $B$19)))</f>
        <v/>
      </c>
      <c r="I113" s="12" t="str">
        <f>IF(($A113+7)&gt;$B$11, "", IF(IF(($B$9+2*(($A113+7)/100)*SQRT(1+$B$10^2))&gt;0,(($B$9 * (($A113+7)/100))+($B$10 * (($A113+7)/100)^2))/($B$9+2*(($A113+7)/100)*SQRT(1+$B$10^2)),0)&gt;0,(1/$B$17)*(IF(($B$9+2*(($A113+7)/100)*SQRT(1+$B$10^2))&gt;0,(($B$9 * (($A113+7)/100))+($B$10 * (($A113+7)/100)^2))/($B$9+2*(($A113+7)/100)*SQRT(1+$B$10^2)),0)^(2/3))*SQRT($B$16),0) * (($B$9 * (($A113+7)/100)) + (($B$10 * (($A113+7)/100)^2) * $B$19)))</f>
        <v/>
      </c>
      <c r="J113" s="12" t="str">
        <f>IF(($A113+8)&gt;$B$11, "", IF(IF(($B$9+2*(($A113+8)/100)*SQRT(1+$B$10^2))&gt;0,(($B$9 * (($A113+8)/100))+($B$10 * (($A113+8)/100)^2))/($B$9+2*(($A113+8)/100)*SQRT(1+$B$10^2)),0)&gt;0,(1/$B$17)*(IF(($B$9+2*(($A113+8)/100)*SQRT(1+$B$10^2))&gt;0,(($B$9 * (($A113+8)/100))+($B$10 * (($A113+8)/100)^2))/($B$9+2*(($A113+8)/100)*SQRT(1+$B$10^2)),0)^(2/3))*SQRT($B$16),0) * (($B$9 * (($A113+8)/100)) + (($B$10 * (($A113+8)/100)^2) * $B$19)))</f>
        <v/>
      </c>
      <c r="K113" s="12" t="str">
        <f>IF(($A113+9)&gt;$B$11, "", IF(IF(($B$9+2*(($A113+9)/100)*SQRT(1+$B$10^2))&gt;0,(($B$9 * (($A113+9)/100))+($B$10 * (($A113+9)/100)^2))/($B$9+2*(($A113+9)/100)*SQRT(1+$B$10^2)),0)&gt;0,(1/$B$17)*(IF(($B$9+2*(($A113+9)/100)*SQRT(1+$B$10^2))&gt;0,(($B$9 * (($A113+9)/100))+($B$10 * (($A113+9)/100)^2))/($B$9+2*(($A113+9)/100)*SQRT(1+$B$10^2)),0)^(2/3))*SQRT($B$16),0) * (($B$9 * (($A113+9)/100)) + (($B$10 * (($A113+9)/100)^2) * $B$19)))</f>
        <v/>
      </c>
    </row>
    <row r="114">
      <c r="A114" s="11">
        <v>240</v>
      </c>
      <c r="B114" s="12" t="str">
        <f>IF(($A114+0)&gt;$B$11, "", IF(IF(($B$9+2*(($A114+0)/100)*SQRT(1+$B$10^2))&gt;0,(($B$9 * (($A114+0)/100))+($B$10 * (($A114+0)/100)^2))/($B$9+2*(($A114+0)/100)*SQRT(1+$B$10^2)),0)&gt;0,(1/$B$17)*(IF(($B$9+2*(($A114+0)/100)*SQRT(1+$B$10^2))&gt;0,(($B$9 * (($A114+0)/100))+($B$10 * (($A114+0)/100)^2))/($B$9+2*(($A114+0)/100)*SQRT(1+$B$10^2)),0)^(2/3))*SQRT($B$16),0) * (($B$9 * (($A114+0)/100)) + (($B$10 * (($A114+0)/100)^2) * $B$19)))</f>
        <v/>
      </c>
      <c r="C114" s="12" t="str">
        <f>IF(($A114+1)&gt;$B$11, "", IF(IF(($B$9+2*(($A114+1)/100)*SQRT(1+$B$10^2))&gt;0,(($B$9 * (($A114+1)/100))+($B$10 * (($A114+1)/100)^2))/($B$9+2*(($A114+1)/100)*SQRT(1+$B$10^2)),0)&gt;0,(1/$B$17)*(IF(($B$9+2*(($A114+1)/100)*SQRT(1+$B$10^2))&gt;0,(($B$9 * (($A114+1)/100))+($B$10 * (($A114+1)/100)^2))/($B$9+2*(($A114+1)/100)*SQRT(1+$B$10^2)),0)^(2/3))*SQRT($B$16),0) * (($B$9 * (($A114+1)/100)) + (($B$10 * (($A114+1)/100)^2) * $B$19)))</f>
        <v/>
      </c>
      <c r="D114" s="12" t="str">
        <f>IF(($A114+2)&gt;$B$11, "", IF(IF(($B$9+2*(($A114+2)/100)*SQRT(1+$B$10^2))&gt;0,(($B$9 * (($A114+2)/100))+($B$10 * (($A114+2)/100)^2))/($B$9+2*(($A114+2)/100)*SQRT(1+$B$10^2)),0)&gt;0,(1/$B$17)*(IF(($B$9+2*(($A114+2)/100)*SQRT(1+$B$10^2))&gt;0,(($B$9 * (($A114+2)/100))+($B$10 * (($A114+2)/100)^2))/($B$9+2*(($A114+2)/100)*SQRT(1+$B$10^2)),0)^(2/3))*SQRT($B$16),0) * (($B$9 * (($A114+2)/100)) + (($B$10 * (($A114+2)/100)^2) * $B$19)))</f>
        <v/>
      </c>
      <c r="E114" s="12" t="str">
        <f>IF(($A114+3)&gt;$B$11, "", IF(IF(($B$9+2*(($A114+3)/100)*SQRT(1+$B$10^2))&gt;0,(($B$9 * (($A114+3)/100))+($B$10 * (($A114+3)/100)^2))/($B$9+2*(($A114+3)/100)*SQRT(1+$B$10^2)),0)&gt;0,(1/$B$17)*(IF(($B$9+2*(($A114+3)/100)*SQRT(1+$B$10^2))&gt;0,(($B$9 * (($A114+3)/100))+($B$10 * (($A114+3)/100)^2))/($B$9+2*(($A114+3)/100)*SQRT(1+$B$10^2)),0)^(2/3))*SQRT($B$16),0) * (($B$9 * (($A114+3)/100)) + (($B$10 * (($A114+3)/100)^2) * $B$19)))</f>
        <v/>
      </c>
      <c r="F114" s="12" t="str">
        <f>IF(($A114+4)&gt;$B$11, "", IF(IF(($B$9+2*(($A114+4)/100)*SQRT(1+$B$10^2))&gt;0,(($B$9 * (($A114+4)/100))+($B$10 * (($A114+4)/100)^2))/($B$9+2*(($A114+4)/100)*SQRT(1+$B$10^2)),0)&gt;0,(1/$B$17)*(IF(($B$9+2*(($A114+4)/100)*SQRT(1+$B$10^2))&gt;0,(($B$9 * (($A114+4)/100))+($B$10 * (($A114+4)/100)^2))/($B$9+2*(($A114+4)/100)*SQRT(1+$B$10^2)),0)^(2/3))*SQRT($B$16),0) * (($B$9 * (($A114+4)/100)) + (($B$10 * (($A114+4)/100)^2) * $B$19)))</f>
        <v/>
      </c>
      <c r="G114" s="12" t="str">
        <f>IF(($A114+5)&gt;$B$11, "", IF(IF(($B$9+2*(($A114+5)/100)*SQRT(1+$B$10^2))&gt;0,(($B$9 * (($A114+5)/100))+($B$10 * (($A114+5)/100)^2))/($B$9+2*(($A114+5)/100)*SQRT(1+$B$10^2)),0)&gt;0,(1/$B$17)*(IF(($B$9+2*(($A114+5)/100)*SQRT(1+$B$10^2))&gt;0,(($B$9 * (($A114+5)/100))+($B$10 * (($A114+5)/100)^2))/($B$9+2*(($A114+5)/100)*SQRT(1+$B$10^2)),0)^(2/3))*SQRT($B$16),0) * (($B$9 * (($A114+5)/100)) + (($B$10 * (($A114+5)/100)^2) * $B$19)))</f>
        <v/>
      </c>
      <c r="H114" s="12" t="str">
        <f>IF(($A114+6)&gt;$B$11, "", IF(IF(($B$9+2*(($A114+6)/100)*SQRT(1+$B$10^2))&gt;0,(($B$9 * (($A114+6)/100))+($B$10 * (($A114+6)/100)^2))/($B$9+2*(($A114+6)/100)*SQRT(1+$B$10^2)),0)&gt;0,(1/$B$17)*(IF(($B$9+2*(($A114+6)/100)*SQRT(1+$B$10^2))&gt;0,(($B$9 * (($A114+6)/100))+($B$10 * (($A114+6)/100)^2))/($B$9+2*(($A114+6)/100)*SQRT(1+$B$10^2)),0)^(2/3))*SQRT($B$16),0) * (($B$9 * (($A114+6)/100)) + (($B$10 * (($A114+6)/100)^2) * $B$19)))</f>
        <v/>
      </c>
      <c r="I114" s="12" t="str">
        <f>IF(($A114+7)&gt;$B$11, "", IF(IF(($B$9+2*(($A114+7)/100)*SQRT(1+$B$10^2))&gt;0,(($B$9 * (($A114+7)/100))+($B$10 * (($A114+7)/100)^2))/($B$9+2*(($A114+7)/100)*SQRT(1+$B$10^2)),0)&gt;0,(1/$B$17)*(IF(($B$9+2*(($A114+7)/100)*SQRT(1+$B$10^2))&gt;0,(($B$9 * (($A114+7)/100))+($B$10 * (($A114+7)/100)^2))/($B$9+2*(($A114+7)/100)*SQRT(1+$B$10^2)),0)^(2/3))*SQRT($B$16),0) * (($B$9 * (($A114+7)/100)) + (($B$10 * (($A114+7)/100)^2) * $B$19)))</f>
        <v/>
      </c>
      <c r="J114" s="12" t="str">
        <f>IF(($A114+8)&gt;$B$11, "", IF(IF(($B$9+2*(($A114+8)/100)*SQRT(1+$B$10^2))&gt;0,(($B$9 * (($A114+8)/100))+($B$10 * (($A114+8)/100)^2))/($B$9+2*(($A114+8)/100)*SQRT(1+$B$10^2)),0)&gt;0,(1/$B$17)*(IF(($B$9+2*(($A114+8)/100)*SQRT(1+$B$10^2))&gt;0,(($B$9 * (($A114+8)/100))+($B$10 * (($A114+8)/100)^2))/($B$9+2*(($A114+8)/100)*SQRT(1+$B$10^2)),0)^(2/3))*SQRT($B$16),0) * (($B$9 * (($A114+8)/100)) + (($B$10 * (($A114+8)/100)^2) * $B$19)))</f>
        <v/>
      </c>
      <c r="K114" s="12" t="str">
        <f>IF(($A114+9)&gt;$B$11, "", IF(IF(($B$9+2*(($A114+9)/100)*SQRT(1+$B$10^2))&gt;0,(($B$9 * (($A114+9)/100))+($B$10 * (($A114+9)/100)^2))/($B$9+2*(($A114+9)/100)*SQRT(1+$B$10^2)),0)&gt;0,(1/$B$17)*(IF(($B$9+2*(($A114+9)/100)*SQRT(1+$B$10^2))&gt;0,(($B$9 * (($A114+9)/100))+($B$10 * (($A114+9)/100)^2))/($B$9+2*(($A114+9)/100)*SQRT(1+$B$10^2)),0)^(2/3))*SQRT($B$16),0) * (($B$9 * (($A114+9)/100)) + (($B$10 * (($A114+9)/100)^2) * $B$19)))</f>
        <v/>
      </c>
    </row>
    <row r="115">
      <c r="A115" s="11">
        <v>250</v>
      </c>
      <c r="B115" s="12" t="str">
        <f>IF(($A115+0)&gt;$B$11, "", IF(IF(($B$9+2*(($A115+0)/100)*SQRT(1+$B$10^2))&gt;0,(($B$9 * (($A115+0)/100))+($B$10 * (($A115+0)/100)^2))/($B$9+2*(($A115+0)/100)*SQRT(1+$B$10^2)),0)&gt;0,(1/$B$17)*(IF(($B$9+2*(($A115+0)/100)*SQRT(1+$B$10^2))&gt;0,(($B$9 * (($A115+0)/100))+($B$10 * (($A115+0)/100)^2))/($B$9+2*(($A115+0)/100)*SQRT(1+$B$10^2)),0)^(2/3))*SQRT($B$16),0) * (($B$9 * (($A115+0)/100)) + (($B$10 * (($A115+0)/100)^2) * $B$19)))</f>
        <v/>
      </c>
      <c r="C115" s="12" t="str">
        <f>IF(($A115+1)&gt;$B$11, "", IF(IF(($B$9+2*(($A115+1)/100)*SQRT(1+$B$10^2))&gt;0,(($B$9 * (($A115+1)/100))+($B$10 * (($A115+1)/100)^2))/($B$9+2*(($A115+1)/100)*SQRT(1+$B$10^2)),0)&gt;0,(1/$B$17)*(IF(($B$9+2*(($A115+1)/100)*SQRT(1+$B$10^2))&gt;0,(($B$9 * (($A115+1)/100))+($B$10 * (($A115+1)/100)^2))/($B$9+2*(($A115+1)/100)*SQRT(1+$B$10^2)),0)^(2/3))*SQRT($B$16),0) * (($B$9 * (($A115+1)/100)) + (($B$10 * (($A115+1)/100)^2) * $B$19)))</f>
        <v/>
      </c>
      <c r="D115" s="12" t="str">
        <f>IF(($A115+2)&gt;$B$11, "", IF(IF(($B$9+2*(($A115+2)/100)*SQRT(1+$B$10^2))&gt;0,(($B$9 * (($A115+2)/100))+($B$10 * (($A115+2)/100)^2))/($B$9+2*(($A115+2)/100)*SQRT(1+$B$10^2)),0)&gt;0,(1/$B$17)*(IF(($B$9+2*(($A115+2)/100)*SQRT(1+$B$10^2))&gt;0,(($B$9 * (($A115+2)/100))+($B$10 * (($A115+2)/100)^2))/($B$9+2*(($A115+2)/100)*SQRT(1+$B$10^2)),0)^(2/3))*SQRT($B$16),0) * (($B$9 * (($A115+2)/100)) + (($B$10 * (($A115+2)/100)^2) * $B$19)))</f>
        <v/>
      </c>
      <c r="E115" s="12" t="str">
        <f>IF(($A115+3)&gt;$B$11, "", IF(IF(($B$9+2*(($A115+3)/100)*SQRT(1+$B$10^2))&gt;0,(($B$9 * (($A115+3)/100))+($B$10 * (($A115+3)/100)^2))/($B$9+2*(($A115+3)/100)*SQRT(1+$B$10^2)),0)&gt;0,(1/$B$17)*(IF(($B$9+2*(($A115+3)/100)*SQRT(1+$B$10^2))&gt;0,(($B$9 * (($A115+3)/100))+($B$10 * (($A115+3)/100)^2))/($B$9+2*(($A115+3)/100)*SQRT(1+$B$10^2)),0)^(2/3))*SQRT($B$16),0) * (($B$9 * (($A115+3)/100)) + (($B$10 * (($A115+3)/100)^2) * $B$19)))</f>
        <v/>
      </c>
      <c r="F115" s="12" t="str">
        <f>IF(($A115+4)&gt;$B$11, "", IF(IF(($B$9+2*(($A115+4)/100)*SQRT(1+$B$10^2))&gt;0,(($B$9 * (($A115+4)/100))+($B$10 * (($A115+4)/100)^2))/($B$9+2*(($A115+4)/100)*SQRT(1+$B$10^2)),0)&gt;0,(1/$B$17)*(IF(($B$9+2*(($A115+4)/100)*SQRT(1+$B$10^2))&gt;0,(($B$9 * (($A115+4)/100))+($B$10 * (($A115+4)/100)^2))/($B$9+2*(($A115+4)/100)*SQRT(1+$B$10^2)),0)^(2/3))*SQRT($B$16),0) * (($B$9 * (($A115+4)/100)) + (($B$10 * (($A115+4)/100)^2) * $B$19)))</f>
        <v/>
      </c>
      <c r="G115" s="12" t="str">
        <f>IF(($A115+5)&gt;$B$11, "", IF(IF(($B$9+2*(($A115+5)/100)*SQRT(1+$B$10^2))&gt;0,(($B$9 * (($A115+5)/100))+($B$10 * (($A115+5)/100)^2))/($B$9+2*(($A115+5)/100)*SQRT(1+$B$10^2)),0)&gt;0,(1/$B$17)*(IF(($B$9+2*(($A115+5)/100)*SQRT(1+$B$10^2))&gt;0,(($B$9 * (($A115+5)/100))+($B$10 * (($A115+5)/100)^2))/($B$9+2*(($A115+5)/100)*SQRT(1+$B$10^2)),0)^(2/3))*SQRT($B$16),0) * (($B$9 * (($A115+5)/100)) + (($B$10 * (($A115+5)/100)^2) * $B$19)))</f>
        <v/>
      </c>
      <c r="H115" s="12" t="str">
        <f>IF(($A115+6)&gt;$B$11, "", IF(IF(($B$9+2*(($A115+6)/100)*SQRT(1+$B$10^2))&gt;0,(($B$9 * (($A115+6)/100))+($B$10 * (($A115+6)/100)^2))/($B$9+2*(($A115+6)/100)*SQRT(1+$B$10^2)),0)&gt;0,(1/$B$17)*(IF(($B$9+2*(($A115+6)/100)*SQRT(1+$B$10^2))&gt;0,(($B$9 * (($A115+6)/100))+($B$10 * (($A115+6)/100)^2))/($B$9+2*(($A115+6)/100)*SQRT(1+$B$10^2)),0)^(2/3))*SQRT($B$16),0) * (($B$9 * (($A115+6)/100)) + (($B$10 * (($A115+6)/100)^2) * $B$19)))</f>
        <v/>
      </c>
      <c r="I115" s="12" t="str">
        <f>IF(($A115+7)&gt;$B$11, "", IF(IF(($B$9+2*(($A115+7)/100)*SQRT(1+$B$10^2))&gt;0,(($B$9 * (($A115+7)/100))+($B$10 * (($A115+7)/100)^2))/($B$9+2*(($A115+7)/100)*SQRT(1+$B$10^2)),0)&gt;0,(1/$B$17)*(IF(($B$9+2*(($A115+7)/100)*SQRT(1+$B$10^2))&gt;0,(($B$9 * (($A115+7)/100))+($B$10 * (($A115+7)/100)^2))/($B$9+2*(($A115+7)/100)*SQRT(1+$B$10^2)),0)^(2/3))*SQRT($B$16),0) * (($B$9 * (($A115+7)/100)) + (($B$10 * (($A115+7)/100)^2) * $B$19)))</f>
        <v/>
      </c>
      <c r="J115" s="12" t="str">
        <f>IF(($A115+8)&gt;$B$11, "", IF(IF(($B$9+2*(($A115+8)/100)*SQRT(1+$B$10^2))&gt;0,(($B$9 * (($A115+8)/100))+($B$10 * (($A115+8)/100)^2))/($B$9+2*(($A115+8)/100)*SQRT(1+$B$10^2)),0)&gt;0,(1/$B$17)*(IF(($B$9+2*(($A115+8)/100)*SQRT(1+$B$10^2))&gt;0,(($B$9 * (($A115+8)/100))+($B$10 * (($A115+8)/100)^2))/($B$9+2*(($A115+8)/100)*SQRT(1+$B$10^2)),0)^(2/3))*SQRT($B$16),0) * (($B$9 * (($A115+8)/100)) + (($B$10 * (($A115+8)/100)^2) * $B$19)))</f>
        <v/>
      </c>
      <c r="K115" s="12" t="str">
        <f>IF(($A115+9)&gt;$B$11, "", IF(IF(($B$9+2*(($A115+9)/100)*SQRT(1+$B$10^2))&gt;0,(($B$9 * (($A115+9)/100))+($B$10 * (($A115+9)/100)^2))/($B$9+2*(($A115+9)/100)*SQRT(1+$B$10^2)),0)&gt;0,(1/$B$17)*(IF(($B$9+2*(($A115+9)/100)*SQRT(1+$B$10^2))&gt;0,(($B$9 * (($A115+9)/100))+($B$10 * (($A115+9)/100)^2))/($B$9+2*(($A115+9)/100)*SQRT(1+$B$10^2)),0)^(2/3))*SQRT($B$16),0) * (($B$9 * (($A115+9)/100)) + (($B$10 * (($A115+9)/100)^2) * $B$19)))</f>
        <v/>
      </c>
    </row>
    <row r="116">
      <c r="A116" s="11">
        <v>260</v>
      </c>
      <c r="B116" s="12" t="str">
        <f>IF(($A116+0)&gt;$B$11, "", IF(IF(($B$9+2*(($A116+0)/100)*SQRT(1+$B$10^2))&gt;0,(($B$9 * (($A116+0)/100))+($B$10 * (($A116+0)/100)^2))/($B$9+2*(($A116+0)/100)*SQRT(1+$B$10^2)),0)&gt;0,(1/$B$17)*(IF(($B$9+2*(($A116+0)/100)*SQRT(1+$B$10^2))&gt;0,(($B$9 * (($A116+0)/100))+($B$10 * (($A116+0)/100)^2))/($B$9+2*(($A116+0)/100)*SQRT(1+$B$10^2)),0)^(2/3))*SQRT($B$16),0) * (($B$9 * (($A116+0)/100)) + (($B$10 * (($A116+0)/100)^2) * $B$19)))</f>
        <v/>
      </c>
      <c r="C116" s="12" t="str">
        <f>IF(($A116+1)&gt;$B$11, "", IF(IF(($B$9+2*(($A116+1)/100)*SQRT(1+$B$10^2))&gt;0,(($B$9 * (($A116+1)/100))+($B$10 * (($A116+1)/100)^2))/($B$9+2*(($A116+1)/100)*SQRT(1+$B$10^2)),0)&gt;0,(1/$B$17)*(IF(($B$9+2*(($A116+1)/100)*SQRT(1+$B$10^2))&gt;0,(($B$9 * (($A116+1)/100))+($B$10 * (($A116+1)/100)^2))/($B$9+2*(($A116+1)/100)*SQRT(1+$B$10^2)),0)^(2/3))*SQRT($B$16),0) * (($B$9 * (($A116+1)/100)) + (($B$10 * (($A116+1)/100)^2) * $B$19)))</f>
        <v/>
      </c>
      <c r="D116" s="12" t="str">
        <f>IF(($A116+2)&gt;$B$11, "", IF(IF(($B$9+2*(($A116+2)/100)*SQRT(1+$B$10^2))&gt;0,(($B$9 * (($A116+2)/100))+($B$10 * (($A116+2)/100)^2))/($B$9+2*(($A116+2)/100)*SQRT(1+$B$10^2)),0)&gt;0,(1/$B$17)*(IF(($B$9+2*(($A116+2)/100)*SQRT(1+$B$10^2))&gt;0,(($B$9 * (($A116+2)/100))+($B$10 * (($A116+2)/100)^2))/($B$9+2*(($A116+2)/100)*SQRT(1+$B$10^2)),0)^(2/3))*SQRT($B$16),0) * (($B$9 * (($A116+2)/100)) + (($B$10 * (($A116+2)/100)^2) * $B$19)))</f>
        <v/>
      </c>
      <c r="E116" s="12" t="str">
        <f>IF(($A116+3)&gt;$B$11, "", IF(IF(($B$9+2*(($A116+3)/100)*SQRT(1+$B$10^2))&gt;0,(($B$9 * (($A116+3)/100))+($B$10 * (($A116+3)/100)^2))/($B$9+2*(($A116+3)/100)*SQRT(1+$B$10^2)),0)&gt;0,(1/$B$17)*(IF(($B$9+2*(($A116+3)/100)*SQRT(1+$B$10^2))&gt;0,(($B$9 * (($A116+3)/100))+($B$10 * (($A116+3)/100)^2))/($B$9+2*(($A116+3)/100)*SQRT(1+$B$10^2)),0)^(2/3))*SQRT($B$16),0) * (($B$9 * (($A116+3)/100)) + (($B$10 * (($A116+3)/100)^2) * $B$19)))</f>
        <v/>
      </c>
      <c r="F116" s="12" t="str">
        <f>IF(($A116+4)&gt;$B$11, "", IF(IF(($B$9+2*(($A116+4)/100)*SQRT(1+$B$10^2))&gt;0,(($B$9 * (($A116+4)/100))+($B$10 * (($A116+4)/100)^2))/($B$9+2*(($A116+4)/100)*SQRT(1+$B$10^2)),0)&gt;0,(1/$B$17)*(IF(($B$9+2*(($A116+4)/100)*SQRT(1+$B$10^2))&gt;0,(($B$9 * (($A116+4)/100))+($B$10 * (($A116+4)/100)^2))/($B$9+2*(($A116+4)/100)*SQRT(1+$B$10^2)),0)^(2/3))*SQRT($B$16),0) * (($B$9 * (($A116+4)/100)) + (($B$10 * (($A116+4)/100)^2) * $B$19)))</f>
        <v/>
      </c>
      <c r="G116" s="12" t="str">
        <f>IF(($A116+5)&gt;$B$11, "", IF(IF(($B$9+2*(($A116+5)/100)*SQRT(1+$B$10^2))&gt;0,(($B$9 * (($A116+5)/100))+($B$10 * (($A116+5)/100)^2))/($B$9+2*(($A116+5)/100)*SQRT(1+$B$10^2)),0)&gt;0,(1/$B$17)*(IF(($B$9+2*(($A116+5)/100)*SQRT(1+$B$10^2))&gt;0,(($B$9 * (($A116+5)/100))+($B$10 * (($A116+5)/100)^2))/($B$9+2*(($A116+5)/100)*SQRT(1+$B$10^2)),0)^(2/3))*SQRT($B$16),0) * (($B$9 * (($A116+5)/100)) + (($B$10 * (($A116+5)/100)^2) * $B$19)))</f>
        <v/>
      </c>
      <c r="H116" s="12" t="str">
        <f>IF(($A116+6)&gt;$B$11, "", IF(IF(($B$9+2*(($A116+6)/100)*SQRT(1+$B$10^2))&gt;0,(($B$9 * (($A116+6)/100))+($B$10 * (($A116+6)/100)^2))/($B$9+2*(($A116+6)/100)*SQRT(1+$B$10^2)),0)&gt;0,(1/$B$17)*(IF(($B$9+2*(($A116+6)/100)*SQRT(1+$B$10^2))&gt;0,(($B$9 * (($A116+6)/100))+($B$10 * (($A116+6)/100)^2))/($B$9+2*(($A116+6)/100)*SQRT(1+$B$10^2)),0)^(2/3))*SQRT($B$16),0) * (($B$9 * (($A116+6)/100)) + (($B$10 * (($A116+6)/100)^2) * $B$19)))</f>
        <v/>
      </c>
      <c r="I116" s="12" t="str">
        <f>IF(($A116+7)&gt;$B$11, "", IF(IF(($B$9+2*(($A116+7)/100)*SQRT(1+$B$10^2))&gt;0,(($B$9 * (($A116+7)/100))+($B$10 * (($A116+7)/100)^2))/($B$9+2*(($A116+7)/100)*SQRT(1+$B$10^2)),0)&gt;0,(1/$B$17)*(IF(($B$9+2*(($A116+7)/100)*SQRT(1+$B$10^2))&gt;0,(($B$9 * (($A116+7)/100))+($B$10 * (($A116+7)/100)^2))/($B$9+2*(($A116+7)/100)*SQRT(1+$B$10^2)),0)^(2/3))*SQRT($B$16),0) * (($B$9 * (($A116+7)/100)) + (($B$10 * (($A116+7)/100)^2) * $B$19)))</f>
        <v/>
      </c>
      <c r="J116" s="12" t="str">
        <f>IF(($A116+8)&gt;$B$11, "", IF(IF(($B$9+2*(($A116+8)/100)*SQRT(1+$B$10^2))&gt;0,(($B$9 * (($A116+8)/100))+($B$10 * (($A116+8)/100)^2))/($B$9+2*(($A116+8)/100)*SQRT(1+$B$10^2)),0)&gt;0,(1/$B$17)*(IF(($B$9+2*(($A116+8)/100)*SQRT(1+$B$10^2))&gt;0,(($B$9 * (($A116+8)/100))+($B$10 * (($A116+8)/100)^2))/($B$9+2*(($A116+8)/100)*SQRT(1+$B$10^2)),0)^(2/3))*SQRT($B$16),0) * (($B$9 * (($A116+8)/100)) + (($B$10 * (($A116+8)/100)^2) * $B$19)))</f>
        <v/>
      </c>
      <c r="K116" s="12" t="str">
        <f>IF(($A116+9)&gt;$B$11, "", IF(IF(($B$9+2*(($A116+9)/100)*SQRT(1+$B$10^2))&gt;0,(($B$9 * (($A116+9)/100))+($B$10 * (($A116+9)/100)^2))/($B$9+2*(($A116+9)/100)*SQRT(1+$B$10^2)),0)&gt;0,(1/$B$17)*(IF(($B$9+2*(($A116+9)/100)*SQRT(1+$B$10^2))&gt;0,(($B$9 * (($A116+9)/100))+($B$10 * (($A116+9)/100)^2))/($B$9+2*(($A116+9)/100)*SQRT(1+$B$10^2)),0)^(2/3))*SQRT($B$16),0) * (($B$9 * (($A116+9)/100)) + (($B$10 * (($A116+9)/100)^2) * $B$19)))</f>
        <v/>
      </c>
    </row>
    <row r="117">
      <c r="A117" s="11">
        <v>270</v>
      </c>
      <c r="B117" s="12" t="str">
        <f>IF(($A117+0)&gt;$B$11, "", IF(IF(($B$9+2*(($A117+0)/100)*SQRT(1+$B$10^2))&gt;0,(($B$9 * (($A117+0)/100))+($B$10 * (($A117+0)/100)^2))/($B$9+2*(($A117+0)/100)*SQRT(1+$B$10^2)),0)&gt;0,(1/$B$17)*(IF(($B$9+2*(($A117+0)/100)*SQRT(1+$B$10^2))&gt;0,(($B$9 * (($A117+0)/100))+($B$10 * (($A117+0)/100)^2))/($B$9+2*(($A117+0)/100)*SQRT(1+$B$10^2)),0)^(2/3))*SQRT($B$16),0) * (($B$9 * (($A117+0)/100)) + (($B$10 * (($A117+0)/100)^2) * $B$19)))</f>
        <v/>
      </c>
      <c r="C117" s="12" t="str">
        <f>IF(($A117+1)&gt;$B$11, "", IF(IF(($B$9+2*(($A117+1)/100)*SQRT(1+$B$10^2))&gt;0,(($B$9 * (($A117+1)/100))+($B$10 * (($A117+1)/100)^2))/($B$9+2*(($A117+1)/100)*SQRT(1+$B$10^2)),0)&gt;0,(1/$B$17)*(IF(($B$9+2*(($A117+1)/100)*SQRT(1+$B$10^2))&gt;0,(($B$9 * (($A117+1)/100))+($B$10 * (($A117+1)/100)^2))/($B$9+2*(($A117+1)/100)*SQRT(1+$B$10^2)),0)^(2/3))*SQRT($B$16),0) * (($B$9 * (($A117+1)/100)) + (($B$10 * (($A117+1)/100)^2) * $B$19)))</f>
        <v/>
      </c>
      <c r="D117" s="12" t="str">
        <f>IF(($A117+2)&gt;$B$11, "", IF(IF(($B$9+2*(($A117+2)/100)*SQRT(1+$B$10^2))&gt;0,(($B$9 * (($A117+2)/100))+($B$10 * (($A117+2)/100)^2))/($B$9+2*(($A117+2)/100)*SQRT(1+$B$10^2)),0)&gt;0,(1/$B$17)*(IF(($B$9+2*(($A117+2)/100)*SQRT(1+$B$10^2))&gt;0,(($B$9 * (($A117+2)/100))+($B$10 * (($A117+2)/100)^2))/($B$9+2*(($A117+2)/100)*SQRT(1+$B$10^2)),0)^(2/3))*SQRT($B$16),0) * (($B$9 * (($A117+2)/100)) + (($B$10 * (($A117+2)/100)^2) * $B$19)))</f>
        <v/>
      </c>
      <c r="E117" s="12" t="str">
        <f>IF(($A117+3)&gt;$B$11, "", IF(IF(($B$9+2*(($A117+3)/100)*SQRT(1+$B$10^2))&gt;0,(($B$9 * (($A117+3)/100))+($B$10 * (($A117+3)/100)^2))/($B$9+2*(($A117+3)/100)*SQRT(1+$B$10^2)),0)&gt;0,(1/$B$17)*(IF(($B$9+2*(($A117+3)/100)*SQRT(1+$B$10^2))&gt;0,(($B$9 * (($A117+3)/100))+($B$10 * (($A117+3)/100)^2))/($B$9+2*(($A117+3)/100)*SQRT(1+$B$10^2)),0)^(2/3))*SQRT($B$16),0) * (($B$9 * (($A117+3)/100)) + (($B$10 * (($A117+3)/100)^2) * $B$19)))</f>
        <v/>
      </c>
      <c r="F117" s="12" t="str">
        <f>IF(($A117+4)&gt;$B$11, "", IF(IF(($B$9+2*(($A117+4)/100)*SQRT(1+$B$10^2))&gt;0,(($B$9 * (($A117+4)/100))+($B$10 * (($A117+4)/100)^2))/($B$9+2*(($A117+4)/100)*SQRT(1+$B$10^2)),0)&gt;0,(1/$B$17)*(IF(($B$9+2*(($A117+4)/100)*SQRT(1+$B$10^2))&gt;0,(($B$9 * (($A117+4)/100))+($B$10 * (($A117+4)/100)^2))/($B$9+2*(($A117+4)/100)*SQRT(1+$B$10^2)),0)^(2/3))*SQRT($B$16),0) * (($B$9 * (($A117+4)/100)) + (($B$10 * (($A117+4)/100)^2) * $B$19)))</f>
        <v/>
      </c>
      <c r="G117" s="12" t="str">
        <f>IF(($A117+5)&gt;$B$11, "", IF(IF(($B$9+2*(($A117+5)/100)*SQRT(1+$B$10^2))&gt;0,(($B$9 * (($A117+5)/100))+($B$10 * (($A117+5)/100)^2))/($B$9+2*(($A117+5)/100)*SQRT(1+$B$10^2)),0)&gt;0,(1/$B$17)*(IF(($B$9+2*(($A117+5)/100)*SQRT(1+$B$10^2))&gt;0,(($B$9 * (($A117+5)/100))+($B$10 * (($A117+5)/100)^2))/($B$9+2*(($A117+5)/100)*SQRT(1+$B$10^2)),0)^(2/3))*SQRT($B$16),0) * (($B$9 * (($A117+5)/100)) + (($B$10 * (($A117+5)/100)^2) * $B$19)))</f>
        <v/>
      </c>
      <c r="H117" s="12" t="str">
        <f>IF(($A117+6)&gt;$B$11, "", IF(IF(($B$9+2*(($A117+6)/100)*SQRT(1+$B$10^2))&gt;0,(($B$9 * (($A117+6)/100))+($B$10 * (($A117+6)/100)^2))/($B$9+2*(($A117+6)/100)*SQRT(1+$B$10^2)),0)&gt;0,(1/$B$17)*(IF(($B$9+2*(($A117+6)/100)*SQRT(1+$B$10^2))&gt;0,(($B$9 * (($A117+6)/100))+($B$10 * (($A117+6)/100)^2))/($B$9+2*(($A117+6)/100)*SQRT(1+$B$10^2)),0)^(2/3))*SQRT($B$16),0) * (($B$9 * (($A117+6)/100)) + (($B$10 * (($A117+6)/100)^2) * $B$19)))</f>
        <v/>
      </c>
      <c r="I117" s="12" t="str">
        <f>IF(($A117+7)&gt;$B$11, "", IF(IF(($B$9+2*(($A117+7)/100)*SQRT(1+$B$10^2))&gt;0,(($B$9 * (($A117+7)/100))+($B$10 * (($A117+7)/100)^2))/($B$9+2*(($A117+7)/100)*SQRT(1+$B$10^2)),0)&gt;0,(1/$B$17)*(IF(($B$9+2*(($A117+7)/100)*SQRT(1+$B$10^2))&gt;0,(($B$9 * (($A117+7)/100))+($B$10 * (($A117+7)/100)^2))/($B$9+2*(($A117+7)/100)*SQRT(1+$B$10^2)),0)^(2/3))*SQRT($B$16),0) * (($B$9 * (($A117+7)/100)) + (($B$10 * (($A117+7)/100)^2) * $B$19)))</f>
        <v/>
      </c>
      <c r="J117" s="12" t="str">
        <f>IF(($A117+8)&gt;$B$11, "", IF(IF(($B$9+2*(($A117+8)/100)*SQRT(1+$B$10^2))&gt;0,(($B$9 * (($A117+8)/100))+($B$10 * (($A117+8)/100)^2))/($B$9+2*(($A117+8)/100)*SQRT(1+$B$10^2)),0)&gt;0,(1/$B$17)*(IF(($B$9+2*(($A117+8)/100)*SQRT(1+$B$10^2))&gt;0,(($B$9 * (($A117+8)/100))+($B$10 * (($A117+8)/100)^2))/($B$9+2*(($A117+8)/100)*SQRT(1+$B$10^2)),0)^(2/3))*SQRT($B$16),0) * (($B$9 * (($A117+8)/100)) + (($B$10 * (($A117+8)/100)^2) * $B$19)))</f>
        <v/>
      </c>
      <c r="K117" s="12" t="str">
        <f>IF(($A117+9)&gt;$B$11, "", IF(IF(($B$9+2*(($A117+9)/100)*SQRT(1+$B$10^2))&gt;0,(($B$9 * (($A117+9)/100))+($B$10 * (($A117+9)/100)^2))/($B$9+2*(($A117+9)/100)*SQRT(1+$B$10^2)),0)&gt;0,(1/$B$17)*(IF(($B$9+2*(($A117+9)/100)*SQRT(1+$B$10^2))&gt;0,(($B$9 * (($A117+9)/100))+($B$10 * (($A117+9)/100)^2))/($B$9+2*(($A117+9)/100)*SQRT(1+$B$10^2)),0)^(2/3))*SQRT($B$16),0) * (($B$9 * (($A117+9)/100)) + (($B$10 * (($A117+9)/100)^2) * $B$19)))</f>
        <v/>
      </c>
    </row>
    <row r="118">
      <c r="A118" s="11">
        <v>280</v>
      </c>
      <c r="B118" s="12" t="str">
        <f>IF(($A118+0)&gt;$B$11, "", IF(IF(($B$9+2*(($A118+0)/100)*SQRT(1+$B$10^2))&gt;0,(($B$9 * (($A118+0)/100))+($B$10 * (($A118+0)/100)^2))/($B$9+2*(($A118+0)/100)*SQRT(1+$B$10^2)),0)&gt;0,(1/$B$17)*(IF(($B$9+2*(($A118+0)/100)*SQRT(1+$B$10^2))&gt;0,(($B$9 * (($A118+0)/100))+($B$10 * (($A118+0)/100)^2))/($B$9+2*(($A118+0)/100)*SQRT(1+$B$10^2)),0)^(2/3))*SQRT($B$16),0) * (($B$9 * (($A118+0)/100)) + (($B$10 * (($A118+0)/100)^2) * $B$19)))</f>
        <v/>
      </c>
      <c r="C118" s="12" t="str">
        <f>IF(($A118+1)&gt;$B$11, "", IF(IF(($B$9+2*(($A118+1)/100)*SQRT(1+$B$10^2))&gt;0,(($B$9 * (($A118+1)/100))+($B$10 * (($A118+1)/100)^2))/($B$9+2*(($A118+1)/100)*SQRT(1+$B$10^2)),0)&gt;0,(1/$B$17)*(IF(($B$9+2*(($A118+1)/100)*SQRT(1+$B$10^2))&gt;0,(($B$9 * (($A118+1)/100))+($B$10 * (($A118+1)/100)^2))/($B$9+2*(($A118+1)/100)*SQRT(1+$B$10^2)),0)^(2/3))*SQRT($B$16),0) * (($B$9 * (($A118+1)/100)) + (($B$10 * (($A118+1)/100)^2) * $B$19)))</f>
        <v/>
      </c>
      <c r="D118" s="12" t="str">
        <f>IF(($A118+2)&gt;$B$11, "", IF(IF(($B$9+2*(($A118+2)/100)*SQRT(1+$B$10^2))&gt;0,(($B$9 * (($A118+2)/100))+($B$10 * (($A118+2)/100)^2))/($B$9+2*(($A118+2)/100)*SQRT(1+$B$10^2)),0)&gt;0,(1/$B$17)*(IF(($B$9+2*(($A118+2)/100)*SQRT(1+$B$10^2))&gt;0,(($B$9 * (($A118+2)/100))+($B$10 * (($A118+2)/100)^2))/($B$9+2*(($A118+2)/100)*SQRT(1+$B$10^2)),0)^(2/3))*SQRT($B$16),0) * (($B$9 * (($A118+2)/100)) + (($B$10 * (($A118+2)/100)^2) * $B$19)))</f>
        <v/>
      </c>
      <c r="E118" s="12" t="str">
        <f>IF(($A118+3)&gt;$B$11, "", IF(IF(($B$9+2*(($A118+3)/100)*SQRT(1+$B$10^2))&gt;0,(($B$9 * (($A118+3)/100))+($B$10 * (($A118+3)/100)^2))/($B$9+2*(($A118+3)/100)*SQRT(1+$B$10^2)),0)&gt;0,(1/$B$17)*(IF(($B$9+2*(($A118+3)/100)*SQRT(1+$B$10^2))&gt;0,(($B$9 * (($A118+3)/100))+($B$10 * (($A118+3)/100)^2))/($B$9+2*(($A118+3)/100)*SQRT(1+$B$10^2)),0)^(2/3))*SQRT($B$16),0) * (($B$9 * (($A118+3)/100)) + (($B$10 * (($A118+3)/100)^2) * $B$19)))</f>
        <v/>
      </c>
      <c r="F118" s="12" t="str">
        <f>IF(($A118+4)&gt;$B$11, "", IF(IF(($B$9+2*(($A118+4)/100)*SQRT(1+$B$10^2))&gt;0,(($B$9 * (($A118+4)/100))+($B$10 * (($A118+4)/100)^2))/($B$9+2*(($A118+4)/100)*SQRT(1+$B$10^2)),0)&gt;0,(1/$B$17)*(IF(($B$9+2*(($A118+4)/100)*SQRT(1+$B$10^2))&gt;0,(($B$9 * (($A118+4)/100))+($B$10 * (($A118+4)/100)^2))/($B$9+2*(($A118+4)/100)*SQRT(1+$B$10^2)),0)^(2/3))*SQRT($B$16),0) * (($B$9 * (($A118+4)/100)) + (($B$10 * (($A118+4)/100)^2) * $B$19)))</f>
        <v/>
      </c>
      <c r="G118" s="12" t="str">
        <f>IF(($A118+5)&gt;$B$11, "", IF(IF(($B$9+2*(($A118+5)/100)*SQRT(1+$B$10^2))&gt;0,(($B$9 * (($A118+5)/100))+($B$10 * (($A118+5)/100)^2))/($B$9+2*(($A118+5)/100)*SQRT(1+$B$10^2)),0)&gt;0,(1/$B$17)*(IF(($B$9+2*(($A118+5)/100)*SQRT(1+$B$10^2))&gt;0,(($B$9 * (($A118+5)/100))+($B$10 * (($A118+5)/100)^2))/($B$9+2*(($A118+5)/100)*SQRT(1+$B$10^2)),0)^(2/3))*SQRT($B$16),0) * (($B$9 * (($A118+5)/100)) + (($B$10 * (($A118+5)/100)^2) * $B$19)))</f>
        <v/>
      </c>
      <c r="H118" s="12" t="str">
        <f>IF(($A118+6)&gt;$B$11, "", IF(IF(($B$9+2*(($A118+6)/100)*SQRT(1+$B$10^2))&gt;0,(($B$9 * (($A118+6)/100))+($B$10 * (($A118+6)/100)^2))/($B$9+2*(($A118+6)/100)*SQRT(1+$B$10^2)),0)&gt;0,(1/$B$17)*(IF(($B$9+2*(($A118+6)/100)*SQRT(1+$B$10^2))&gt;0,(($B$9 * (($A118+6)/100))+($B$10 * (($A118+6)/100)^2))/($B$9+2*(($A118+6)/100)*SQRT(1+$B$10^2)),0)^(2/3))*SQRT($B$16),0) * (($B$9 * (($A118+6)/100)) + (($B$10 * (($A118+6)/100)^2) * $B$19)))</f>
        <v/>
      </c>
      <c r="I118" s="12" t="str">
        <f>IF(($A118+7)&gt;$B$11, "", IF(IF(($B$9+2*(($A118+7)/100)*SQRT(1+$B$10^2))&gt;0,(($B$9 * (($A118+7)/100))+($B$10 * (($A118+7)/100)^2))/($B$9+2*(($A118+7)/100)*SQRT(1+$B$10^2)),0)&gt;0,(1/$B$17)*(IF(($B$9+2*(($A118+7)/100)*SQRT(1+$B$10^2))&gt;0,(($B$9 * (($A118+7)/100))+($B$10 * (($A118+7)/100)^2))/($B$9+2*(($A118+7)/100)*SQRT(1+$B$10^2)),0)^(2/3))*SQRT($B$16),0) * (($B$9 * (($A118+7)/100)) + (($B$10 * (($A118+7)/100)^2) * $B$19)))</f>
        <v/>
      </c>
      <c r="J118" s="12" t="str">
        <f>IF(($A118+8)&gt;$B$11, "", IF(IF(($B$9+2*(($A118+8)/100)*SQRT(1+$B$10^2))&gt;0,(($B$9 * (($A118+8)/100))+($B$10 * (($A118+8)/100)^2))/($B$9+2*(($A118+8)/100)*SQRT(1+$B$10^2)),0)&gt;0,(1/$B$17)*(IF(($B$9+2*(($A118+8)/100)*SQRT(1+$B$10^2))&gt;0,(($B$9 * (($A118+8)/100))+($B$10 * (($A118+8)/100)^2))/($B$9+2*(($A118+8)/100)*SQRT(1+$B$10^2)),0)^(2/3))*SQRT($B$16),0) * (($B$9 * (($A118+8)/100)) + (($B$10 * (($A118+8)/100)^2) * $B$19)))</f>
        <v/>
      </c>
      <c r="K118" s="12" t="str">
        <f>IF(($A118+9)&gt;$B$11, "", IF(IF(($B$9+2*(($A118+9)/100)*SQRT(1+$B$10^2))&gt;0,(($B$9 * (($A118+9)/100))+($B$10 * (($A118+9)/100)^2))/($B$9+2*(($A118+9)/100)*SQRT(1+$B$10^2)),0)&gt;0,(1/$B$17)*(IF(($B$9+2*(($A118+9)/100)*SQRT(1+$B$10^2))&gt;0,(($B$9 * (($A118+9)/100))+($B$10 * (($A118+9)/100)^2))/($B$9+2*(($A118+9)/100)*SQRT(1+$B$10^2)),0)^(2/3))*SQRT($B$16),0) * (($B$9 * (($A118+9)/100)) + (($B$10 * (($A118+9)/100)^2) * $B$19)))</f>
        <v/>
      </c>
    </row>
    <row r="119">
      <c r="A119" s="11">
        <v>290</v>
      </c>
      <c r="B119" s="12" t="str">
        <f>IF(($A119+0)&gt;$B$11, "", IF(IF(($B$9+2*(($A119+0)/100)*SQRT(1+$B$10^2))&gt;0,(($B$9 * (($A119+0)/100))+($B$10 * (($A119+0)/100)^2))/($B$9+2*(($A119+0)/100)*SQRT(1+$B$10^2)),0)&gt;0,(1/$B$17)*(IF(($B$9+2*(($A119+0)/100)*SQRT(1+$B$10^2))&gt;0,(($B$9 * (($A119+0)/100))+($B$10 * (($A119+0)/100)^2))/($B$9+2*(($A119+0)/100)*SQRT(1+$B$10^2)),0)^(2/3))*SQRT($B$16),0) * (($B$9 * (($A119+0)/100)) + (($B$10 * (($A119+0)/100)^2) * $B$19)))</f>
        <v/>
      </c>
      <c r="C119" s="12" t="str">
        <f>IF(($A119+1)&gt;$B$11, "", IF(IF(($B$9+2*(($A119+1)/100)*SQRT(1+$B$10^2))&gt;0,(($B$9 * (($A119+1)/100))+($B$10 * (($A119+1)/100)^2))/($B$9+2*(($A119+1)/100)*SQRT(1+$B$10^2)),0)&gt;0,(1/$B$17)*(IF(($B$9+2*(($A119+1)/100)*SQRT(1+$B$10^2))&gt;0,(($B$9 * (($A119+1)/100))+($B$10 * (($A119+1)/100)^2))/($B$9+2*(($A119+1)/100)*SQRT(1+$B$10^2)),0)^(2/3))*SQRT($B$16),0) * (($B$9 * (($A119+1)/100)) + (($B$10 * (($A119+1)/100)^2) * $B$19)))</f>
        <v/>
      </c>
      <c r="D119" s="12" t="str">
        <f>IF(($A119+2)&gt;$B$11, "", IF(IF(($B$9+2*(($A119+2)/100)*SQRT(1+$B$10^2))&gt;0,(($B$9 * (($A119+2)/100))+($B$10 * (($A119+2)/100)^2))/($B$9+2*(($A119+2)/100)*SQRT(1+$B$10^2)),0)&gt;0,(1/$B$17)*(IF(($B$9+2*(($A119+2)/100)*SQRT(1+$B$10^2))&gt;0,(($B$9 * (($A119+2)/100))+($B$10 * (($A119+2)/100)^2))/($B$9+2*(($A119+2)/100)*SQRT(1+$B$10^2)),0)^(2/3))*SQRT($B$16),0) * (($B$9 * (($A119+2)/100)) + (($B$10 * (($A119+2)/100)^2) * $B$19)))</f>
        <v/>
      </c>
      <c r="E119" s="12" t="str">
        <f>IF(($A119+3)&gt;$B$11, "", IF(IF(($B$9+2*(($A119+3)/100)*SQRT(1+$B$10^2))&gt;0,(($B$9 * (($A119+3)/100))+($B$10 * (($A119+3)/100)^2))/($B$9+2*(($A119+3)/100)*SQRT(1+$B$10^2)),0)&gt;0,(1/$B$17)*(IF(($B$9+2*(($A119+3)/100)*SQRT(1+$B$10^2))&gt;0,(($B$9 * (($A119+3)/100))+($B$10 * (($A119+3)/100)^2))/($B$9+2*(($A119+3)/100)*SQRT(1+$B$10^2)),0)^(2/3))*SQRT($B$16),0) * (($B$9 * (($A119+3)/100)) + (($B$10 * (($A119+3)/100)^2) * $B$19)))</f>
        <v/>
      </c>
      <c r="F119" s="12" t="str">
        <f>IF(($A119+4)&gt;$B$11, "", IF(IF(($B$9+2*(($A119+4)/100)*SQRT(1+$B$10^2))&gt;0,(($B$9 * (($A119+4)/100))+($B$10 * (($A119+4)/100)^2))/($B$9+2*(($A119+4)/100)*SQRT(1+$B$10^2)),0)&gt;0,(1/$B$17)*(IF(($B$9+2*(($A119+4)/100)*SQRT(1+$B$10^2))&gt;0,(($B$9 * (($A119+4)/100))+($B$10 * (($A119+4)/100)^2))/($B$9+2*(($A119+4)/100)*SQRT(1+$B$10^2)),0)^(2/3))*SQRT($B$16),0) * (($B$9 * (($A119+4)/100)) + (($B$10 * (($A119+4)/100)^2) * $B$19)))</f>
        <v/>
      </c>
      <c r="G119" s="12" t="str">
        <f>IF(($A119+5)&gt;$B$11, "", IF(IF(($B$9+2*(($A119+5)/100)*SQRT(1+$B$10^2))&gt;0,(($B$9 * (($A119+5)/100))+($B$10 * (($A119+5)/100)^2))/($B$9+2*(($A119+5)/100)*SQRT(1+$B$10^2)),0)&gt;0,(1/$B$17)*(IF(($B$9+2*(($A119+5)/100)*SQRT(1+$B$10^2))&gt;0,(($B$9 * (($A119+5)/100))+($B$10 * (($A119+5)/100)^2))/($B$9+2*(($A119+5)/100)*SQRT(1+$B$10^2)),0)^(2/3))*SQRT($B$16),0) * (($B$9 * (($A119+5)/100)) + (($B$10 * (($A119+5)/100)^2) * $B$19)))</f>
        <v/>
      </c>
      <c r="H119" s="12" t="str">
        <f>IF(($A119+6)&gt;$B$11, "", IF(IF(($B$9+2*(($A119+6)/100)*SQRT(1+$B$10^2))&gt;0,(($B$9 * (($A119+6)/100))+($B$10 * (($A119+6)/100)^2))/($B$9+2*(($A119+6)/100)*SQRT(1+$B$10^2)),0)&gt;0,(1/$B$17)*(IF(($B$9+2*(($A119+6)/100)*SQRT(1+$B$10^2))&gt;0,(($B$9 * (($A119+6)/100))+($B$10 * (($A119+6)/100)^2))/($B$9+2*(($A119+6)/100)*SQRT(1+$B$10^2)),0)^(2/3))*SQRT($B$16),0) * (($B$9 * (($A119+6)/100)) + (($B$10 * (($A119+6)/100)^2) * $B$19)))</f>
        <v/>
      </c>
      <c r="I119" s="12" t="str">
        <f>IF(($A119+7)&gt;$B$11, "", IF(IF(($B$9+2*(($A119+7)/100)*SQRT(1+$B$10^2))&gt;0,(($B$9 * (($A119+7)/100))+($B$10 * (($A119+7)/100)^2))/($B$9+2*(($A119+7)/100)*SQRT(1+$B$10^2)),0)&gt;0,(1/$B$17)*(IF(($B$9+2*(($A119+7)/100)*SQRT(1+$B$10^2))&gt;0,(($B$9 * (($A119+7)/100))+($B$10 * (($A119+7)/100)^2))/($B$9+2*(($A119+7)/100)*SQRT(1+$B$10^2)),0)^(2/3))*SQRT($B$16),0) * (($B$9 * (($A119+7)/100)) + (($B$10 * (($A119+7)/100)^2) * $B$19)))</f>
        <v/>
      </c>
      <c r="J119" s="12" t="str">
        <f>IF(($A119+8)&gt;$B$11, "", IF(IF(($B$9+2*(($A119+8)/100)*SQRT(1+$B$10^2))&gt;0,(($B$9 * (($A119+8)/100))+($B$10 * (($A119+8)/100)^2))/($B$9+2*(($A119+8)/100)*SQRT(1+$B$10^2)),0)&gt;0,(1/$B$17)*(IF(($B$9+2*(($A119+8)/100)*SQRT(1+$B$10^2))&gt;0,(($B$9 * (($A119+8)/100))+($B$10 * (($A119+8)/100)^2))/($B$9+2*(($A119+8)/100)*SQRT(1+$B$10^2)),0)^(2/3))*SQRT($B$16),0) * (($B$9 * (($A119+8)/100)) + (($B$10 * (($A119+8)/100)^2) * $B$19)))</f>
        <v/>
      </c>
      <c r="K119" s="12" t="str">
        <f>IF(($A119+9)&gt;$B$11, "", IF(IF(($B$9+2*(($A119+9)/100)*SQRT(1+$B$10^2))&gt;0,(($B$9 * (($A119+9)/100))+($B$10 * (($A119+9)/100)^2))/($B$9+2*(($A119+9)/100)*SQRT(1+$B$10^2)),0)&gt;0,(1/$B$17)*(IF(($B$9+2*(($A119+9)/100)*SQRT(1+$B$10^2))&gt;0,(($B$9 * (($A119+9)/100))+($B$10 * (($A119+9)/100)^2))/($B$9+2*(($A119+9)/100)*SQRT(1+$B$10^2)),0)^(2/3))*SQRT($B$16),0) * (($B$9 * (($A119+9)/100)) + (($B$10 * (($A119+9)/100)^2) * $B$19)))</f>
        <v/>
      </c>
    </row>
    <row r="120">
      <c r="A120" s="11">
        <v>300</v>
      </c>
      <c r="B120" s="12" t="str">
        <f>IF(($A120+0)&gt;$B$11, "", IF(IF(($B$9+2*(($A120+0)/100)*SQRT(1+$B$10^2))&gt;0,(($B$9 * (($A120+0)/100))+($B$10 * (($A120+0)/100)^2))/($B$9+2*(($A120+0)/100)*SQRT(1+$B$10^2)),0)&gt;0,(1/$B$17)*(IF(($B$9+2*(($A120+0)/100)*SQRT(1+$B$10^2))&gt;0,(($B$9 * (($A120+0)/100))+($B$10 * (($A120+0)/100)^2))/($B$9+2*(($A120+0)/100)*SQRT(1+$B$10^2)),0)^(2/3))*SQRT($B$16),0) * (($B$9 * (($A120+0)/100)) + (($B$10 * (($A120+0)/100)^2) * $B$19)))</f>
        <v/>
      </c>
      <c r="C120" s="12" t="str">
        <f>IF(($A120+1)&gt;$B$11, "", IF(IF(($B$9+2*(($A120+1)/100)*SQRT(1+$B$10^2))&gt;0,(($B$9 * (($A120+1)/100))+($B$10 * (($A120+1)/100)^2))/($B$9+2*(($A120+1)/100)*SQRT(1+$B$10^2)),0)&gt;0,(1/$B$17)*(IF(($B$9+2*(($A120+1)/100)*SQRT(1+$B$10^2))&gt;0,(($B$9 * (($A120+1)/100))+($B$10 * (($A120+1)/100)^2))/($B$9+2*(($A120+1)/100)*SQRT(1+$B$10^2)),0)^(2/3))*SQRT($B$16),0) * (($B$9 * (($A120+1)/100)) + (($B$10 * (($A120+1)/100)^2) * $B$19)))</f>
        <v/>
      </c>
      <c r="D120" s="12" t="str">
        <f>IF(($A120+2)&gt;$B$11, "", IF(IF(($B$9+2*(($A120+2)/100)*SQRT(1+$B$10^2))&gt;0,(($B$9 * (($A120+2)/100))+($B$10 * (($A120+2)/100)^2))/($B$9+2*(($A120+2)/100)*SQRT(1+$B$10^2)),0)&gt;0,(1/$B$17)*(IF(($B$9+2*(($A120+2)/100)*SQRT(1+$B$10^2))&gt;0,(($B$9 * (($A120+2)/100))+($B$10 * (($A120+2)/100)^2))/($B$9+2*(($A120+2)/100)*SQRT(1+$B$10^2)),0)^(2/3))*SQRT($B$16),0) * (($B$9 * (($A120+2)/100)) + (($B$10 * (($A120+2)/100)^2) * $B$19)))</f>
        <v/>
      </c>
      <c r="E120" s="12" t="str">
        <f>IF(($A120+3)&gt;$B$11, "", IF(IF(($B$9+2*(($A120+3)/100)*SQRT(1+$B$10^2))&gt;0,(($B$9 * (($A120+3)/100))+($B$10 * (($A120+3)/100)^2))/($B$9+2*(($A120+3)/100)*SQRT(1+$B$10^2)),0)&gt;0,(1/$B$17)*(IF(($B$9+2*(($A120+3)/100)*SQRT(1+$B$10^2))&gt;0,(($B$9 * (($A120+3)/100))+($B$10 * (($A120+3)/100)^2))/($B$9+2*(($A120+3)/100)*SQRT(1+$B$10^2)),0)^(2/3))*SQRT($B$16),0) * (($B$9 * (($A120+3)/100)) + (($B$10 * (($A120+3)/100)^2) * $B$19)))</f>
        <v/>
      </c>
      <c r="F120" s="12" t="str">
        <f>IF(($A120+4)&gt;$B$11, "", IF(IF(($B$9+2*(($A120+4)/100)*SQRT(1+$B$10^2))&gt;0,(($B$9 * (($A120+4)/100))+($B$10 * (($A120+4)/100)^2))/($B$9+2*(($A120+4)/100)*SQRT(1+$B$10^2)),0)&gt;0,(1/$B$17)*(IF(($B$9+2*(($A120+4)/100)*SQRT(1+$B$10^2))&gt;0,(($B$9 * (($A120+4)/100))+($B$10 * (($A120+4)/100)^2))/($B$9+2*(($A120+4)/100)*SQRT(1+$B$10^2)),0)^(2/3))*SQRT($B$16),0) * (($B$9 * (($A120+4)/100)) + (($B$10 * (($A120+4)/100)^2) * $B$19)))</f>
        <v/>
      </c>
      <c r="G120" s="12" t="str">
        <f>IF(($A120+5)&gt;$B$11, "", IF(IF(($B$9+2*(($A120+5)/100)*SQRT(1+$B$10^2))&gt;0,(($B$9 * (($A120+5)/100))+($B$10 * (($A120+5)/100)^2))/($B$9+2*(($A120+5)/100)*SQRT(1+$B$10^2)),0)&gt;0,(1/$B$17)*(IF(($B$9+2*(($A120+5)/100)*SQRT(1+$B$10^2))&gt;0,(($B$9 * (($A120+5)/100))+($B$10 * (($A120+5)/100)^2))/($B$9+2*(($A120+5)/100)*SQRT(1+$B$10^2)),0)^(2/3))*SQRT($B$16),0) * (($B$9 * (($A120+5)/100)) + (($B$10 * (($A120+5)/100)^2) * $B$19)))</f>
        <v/>
      </c>
      <c r="H120" s="12" t="str">
        <f>IF(($A120+6)&gt;$B$11, "", IF(IF(($B$9+2*(($A120+6)/100)*SQRT(1+$B$10^2))&gt;0,(($B$9 * (($A120+6)/100))+($B$10 * (($A120+6)/100)^2))/($B$9+2*(($A120+6)/100)*SQRT(1+$B$10^2)),0)&gt;0,(1/$B$17)*(IF(($B$9+2*(($A120+6)/100)*SQRT(1+$B$10^2))&gt;0,(($B$9 * (($A120+6)/100))+($B$10 * (($A120+6)/100)^2))/($B$9+2*(($A120+6)/100)*SQRT(1+$B$10^2)),0)^(2/3))*SQRT($B$16),0) * (($B$9 * (($A120+6)/100)) + (($B$10 * (($A120+6)/100)^2) * $B$19)))</f>
        <v/>
      </c>
      <c r="I120" s="12" t="str">
        <f>IF(($A120+7)&gt;$B$11, "", IF(IF(($B$9+2*(($A120+7)/100)*SQRT(1+$B$10^2))&gt;0,(($B$9 * (($A120+7)/100))+($B$10 * (($A120+7)/100)^2))/($B$9+2*(($A120+7)/100)*SQRT(1+$B$10^2)),0)&gt;0,(1/$B$17)*(IF(($B$9+2*(($A120+7)/100)*SQRT(1+$B$10^2))&gt;0,(($B$9 * (($A120+7)/100))+($B$10 * (($A120+7)/100)^2))/($B$9+2*(($A120+7)/100)*SQRT(1+$B$10^2)),0)^(2/3))*SQRT($B$16),0) * (($B$9 * (($A120+7)/100)) + (($B$10 * (($A120+7)/100)^2) * $B$19)))</f>
        <v/>
      </c>
      <c r="J120" s="12" t="str">
        <f>IF(($A120+8)&gt;$B$11, "", IF(IF(($B$9+2*(($A120+8)/100)*SQRT(1+$B$10^2))&gt;0,(($B$9 * (($A120+8)/100))+($B$10 * (($A120+8)/100)^2))/($B$9+2*(($A120+8)/100)*SQRT(1+$B$10^2)),0)&gt;0,(1/$B$17)*(IF(($B$9+2*(($A120+8)/100)*SQRT(1+$B$10^2))&gt;0,(($B$9 * (($A120+8)/100))+($B$10 * (($A120+8)/100)^2))/($B$9+2*(($A120+8)/100)*SQRT(1+$B$10^2)),0)^(2/3))*SQRT($B$16),0) * (($B$9 * (($A120+8)/100)) + (($B$10 * (($A120+8)/100)^2) * $B$19)))</f>
        <v/>
      </c>
      <c r="K120" s="12" t="str">
        <f>IF(($A120+9)&gt;$B$11, "", IF(IF(($B$9+2*(($A120+9)/100)*SQRT(1+$B$10^2))&gt;0,(($B$9 * (($A120+9)/100))+($B$10 * (($A120+9)/100)^2))/($B$9+2*(($A120+9)/100)*SQRT(1+$B$10^2)),0)&gt;0,(1/$B$17)*(IF(($B$9+2*(($A120+9)/100)*SQRT(1+$B$10^2))&gt;0,(($B$9 * (($A120+9)/100))+($B$10 * (($A120+9)/100)^2))/($B$9+2*(($A120+9)/100)*SQRT(1+$B$10^2)),0)^(2/3))*SQRT($B$16),0) * (($B$9 * (($A120+9)/100)) + (($B$10 * (($A120+9)/100)^2) * $B$19)))</f>
        <v/>
      </c>
    </row>
    <row r="121">
      <c r="A121" s="11">
        <v>310</v>
      </c>
      <c r="B121" s="12" t="str">
        <f>IF(($A121+0)&gt;$B$11, "", IF(IF(($B$9+2*(($A121+0)/100)*SQRT(1+$B$10^2))&gt;0,(($B$9 * (($A121+0)/100))+($B$10 * (($A121+0)/100)^2))/($B$9+2*(($A121+0)/100)*SQRT(1+$B$10^2)),0)&gt;0,(1/$B$17)*(IF(($B$9+2*(($A121+0)/100)*SQRT(1+$B$10^2))&gt;0,(($B$9 * (($A121+0)/100))+($B$10 * (($A121+0)/100)^2))/($B$9+2*(($A121+0)/100)*SQRT(1+$B$10^2)),0)^(2/3))*SQRT($B$16),0) * (($B$9 * (($A121+0)/100)) + (($B$10 * (($A121+0)/100)^2) * $B$19)))</f>
        <v/>
      </c>
      <c r="C121" s="12" t="str">
        <f>IF(($A121+1)&gt;$B$11, "", IF(IF(($B$9+2*(($A121+1)/100)*SQRT(1+$B$10^2))&gt;0,(($B$9 * (($A121+1)/100))+($B$10 * (($A121+1)/100)^2))/($B$9+2*(($A121+1)/100)*SQRT(1+$B$10^2)),0)&gt;0,(1/$B$17)*(IF(($B$9+2*(($A121+1)/100)*SQRT(1+$B$10^2))&gt;0,(($B$9 * (($A121+1)/100))+($B$10 * (($A121+1)/100)^2))/($B$9+2*(($A121+1)/100)*SQRT(1+$B$10^2)),0)^(2/3))*SQRT($B$16),0) * (($B$9 * (($A121+1)/100)) + (($B$10 * (($A121+1)/100)^2) * $B$19)))</f>
        <v/>
      </c>
      <c r="D121" s="12" t="str">
        <f>IF(($A121+2)&gt;$B$11, "", IF(IF(($B$9+2*(($A121+2)/100)*SQRT(1+$B$10^2))&gt;0,(($B$9 * (($A121+2)/100))+($B$10 * (($A121+2)/100)^2))/($B$9+2*(($A121+2)/100)*SQRT(1+$B$10^2)),0)&gt;0,(1/$B$17)*(IF(($B$9+2*(($A121+2)/100)*SQRT(1+$B$10^2))&gt;0,(($B$9 * (($A121+2)/100))+($B$10 * (($A121+2)/100)^2))/($B$9+2*(($A121+2)/100)*SQRT(1+$B$10^2)),0)^(2/3))*SQRT($B$16),0) * (($B$9 * (($A121+2)/100)) + (($B$10 * (($A121+2)/100)^2) * $B$19)))</f>
        <v/>
      </c>
      <c r="E121" s="12" t="str">
        <f>IF(($A121+3)&gt;$B$11, "", IF(IF(($B$9+2*(($A121+3)/100)*SQRT(1+$B$10^2))&gt;0,(($B$9 * (($A121+3)/100))+($B$10 * (($A121+3)/100)^2))/($B$9+2*(($A121+3)/100)*SQRT(1+$B$10^2)),0)&gt;0,(1/$B$17)*(IF(($B$9+2*(($A121+3)/100)*SQRT(1+$B$10^2))&gt;0,(($B$9 * (($A121+3)/100))+($B$10 * (($A121+3)/100)^2))/($B$9+2*(($A121+3)/100)*SQRT(1+$B$10^2)),0)^(2/3))*SQRT($B$16),0) * (($B$9 * (($A121+3)/100)) + (($B$10 * (($A121+3)/100)^2) * $B$19)))</f>
        <v/>
      </c>
      <c r="F121" s="12" t="str">
        <f>IF(($A121+4)&gt;$B$11, "", IF(IF(($B$9+2*(($A121+4)/100)*SQRT(1+$B$10^2))&gt;0,(($B$9 * (($A121+4)/100))+($B$10 * (($A121+4)/100)^2))/($B$9+2*(($A121+4)/100)*SQRT(1+$B$10^2)),0)&gt;0,(1/$B$17)*(IF(($B$9+2*(($A121+4)/100)*SQRT(1+$B$10^2))&gt;0,(($B$9 * (($A121+4)/100))+($B$10 * (($A121+4)/100)^2))/($B$9+2*(($A121+4)/100)*SQRT(1+$B$10^2)),0)^(2/3))*SQRT($B$16),0) * (($B$9 * (($A121+4)/100)) + (($B$10 * (($A121+4)/100)^2) * $B$19)))</f>
        <v/>
      </c>
      <c r="G121" s="12" t="str">
        <f>IF(($A121+5)&gt;$B$11, "", IF(IF(($B$9+2*(($A121+5)/100)*SQRT(1+$B$10^2))&gt;0,(($B$9 * (($A121+5)/100))+($B$10 * (($A121+5)/100)^2))/($B$9+2*(($A121+5)/100)*SQRT(1+$B$10^2)),0)&gt;0,(1/$B$17)*(IF(($B$9+2*(($A121+5)/100)*SQRT(1+$B$10^2))&gt;0,(($B$9 * (($A121+5)/100))+($B$10 * (($A121+5)/100)^2))/($B$9+2*(($A121+5)/100)*SQRT(1+$B$10^2)),0)^(2/3))*SQRT($B$16),0) * (($B$9 * (($A121+5)/100)) + (($B$10 * (($A121+5)/100)^2) * $B$19)))</f>
        <v/>
      </c>
      <c r="H121" s="12" t="str">
        <f>IF(($A121+6)&gt;$B$11, "", IF(IF(($B$9+2*(($A121+6)/100)*SQRT(1+$B$10^2))&gt;0,(($B$9 * (($A121+6)/100))+($B$10 * (($A121+6)/100)^2))/($B$9+2*(($A121+6)/100)*SQRT(1+$B$10^2)),0)&gt;0,(1/$B$17)*(IF(($B$9+2*(($A121+6)/100)*SQRT(1+$B$10^2))&gt;0,(($B$9 * (($A121+6)/100))+($B$10 * (($A121+6)/100)^2))/($B$9+2*(($A121+6)/100)*SQRT(1+$B$10^2)),0)^(2/3))*SQRT($B$16),0) * (($B$9 * (($A121+6)/100)) + (($B$10 * (($A121+6)/100)^2) * $B$19)))</f>
        <v/>
      </c>
      <c r="I121" s="12" t="str">
        <f>IF(($A121+7)&gt;$B$11, "", IF(IF(($B$9+2*(($A121+7)/100)*SQRT(1+$B$10^2))&gt;0,(($B$9 * (($A121+7)/100))+($B$10 * (($A121+7)/100)^2))/($B$9+2*(($A121+7)/100)*SQRT(1+$B$10^2)),0)&gt;0,(1/$B$17)*(IF(($B$9+2*(($A121+7)/100)*SQRT(1+$B$10^2))&gt;0,(($B$9 * (($A121+7)/100))+($B$10 * (($A121+7)/100)^2))/($B$9+2*(($A121+7)/100)*SQRT(1+$B$10^2)),0)^(2/3))*SQRT($B$16),0) * (($B$9 * (($A121+7)/100)) + (($B$10 * (($A121+7)/100)^2) * $B$19)))</f>
        <v/>
      </c>
      <c r="J121" s="12" t="str">
        <f>IF(($A121+8)&gt;$B$11, "", IF(IF(($B$9+2*(($A121+8)/100)*SQRT(1+$B$10^2))&gt;0,(($B$9 * (($A121+8)/100))+($B$10 * (($A121+8)/100)^2))/($B$9+2*(($A121+8)/100)*SQRT(1+$B$10^2)),0)&gt;0,(1/$B$17)*(IF(($B$9+2*(($A121+8)/100)*SQRT(1+$B$10^2))&gt;0,(($B$9 * (($A121+8)/100))+($B$10 * (($A121+8)/100)^2))/($B$9+2*(($A121+8)/100)*SQRT(1+$B$10^2)),0)^(2/3))*SQRT($B$16),0) * (($B$9 * (($A121+8)/100)) + (($B$10 * (($A121+8)/100)^2) * $B$19)))</f>
        <v/>
      </c>
      <c r="K121" s="12" t="str">
        <f>IF(($A121+9)&gt;$B$11, "", IF(IF(($B$9+2*(($A121+9)/100)*SQRT(1+$B$10^2))&gt;0,(($B$9 * (($A121+9)/100))+($B$10 * (($A121+9)/100)^2))/($B$9+2*(($A121+9)/100)*SQRT(1+$B$10^2)),0)&gt;0,(1/$B$17)*(IF(($B$9+2*(($A121+9)/100)*SQRT(1+$B$10^2))&gt;0,(($B$9 * (($A121+9)/100))+($B$10 * (($A121+9)/100)^2))/($B$9+2*(($A121+9)/100)*SQRT(1+$B$10^2)),0)^(2/3))*SQRT($B$16),0) * (($B$9 * (($A121+9)/100)) + (($B$10 * (($A121+9)/100)^2) * $B$19)))</f>
        <v/>
      </c>
    </row>
    <row r="122">
      <c r="A122" s="11">
        <v>320</v>
      </c>
      <c r="B122" s="12" t="str">
        <f>IF(($A122+0)&gt;$B$11, "", IF(IF(($B$9+2*(($A122+0)/100)*SQRT(1+$B$10^2))&gt;0,(($B$9 * (($A122+0)/100))+($B$10 * (($A122+0)/100)^2))/($B$9+2*(($A122+0)/100)*SQRT(1+$B$10^2)),0)&gt;0,(1/$B$17)*(IF(($B$9+2*(($A122+0)/100)*SQRT(1+$B$10^2))&gt;0,(($B$9 * (($A122+0)/100))+($B$10 * (($A122+0)/100)^2))/($B$9+2*(($A122+0)/100)*SQRT(1+$B$10^2)),0)^(2/3))*SQRT($B$16),0) * (($B$9 * (($A122+0)/100)) + (($B$10 * (($A122+0)/100)^2) * $B$19)))</f>
        <v/>
      </c>
      <c r="C122" s="12" t="str">
        <f>IF(($A122+1)&gt;$B$11, "", IF(IF(($B$9+2*(($A122+1)/100)*SQRT(1+$B$10^2))&gt;0,(($B$9 * (($A122+1)/100))+($B$10 * (($A122+1)/100)^2))/($B$9+2*(($A122+1)/100)*SQRT(1+$B$10^2)),0)&gt;0,(1/$B$17)*(IF(($B$9+2*(($A122+1)/100)*SQRT(1+$B$10^2))&gt;0,(($B$9 * (($A122+1)/100))+($B$10 * (($A122+1)/100)^2))/($B$9+2*(($A122+1)/100)*SQRT(1+$B$10^2)),0)^(2/3))*SQRT($B$16),0) * (($B$9 * (($A122+1)/100)) + (($B$10 * (($A122+1)/100)^2) * $B$19)))</f>
        <v/>
      </c>
      <c r="D122" s="12" t="str">
        <f>IF(($A122+2)&gt;$B$11, "", IF(IF(($B$9+2*(($A122+2)/100)*SQRT(1+$B$10^2))&gt;0,(($B$9 * (($A122+2)/100))+($B$10 * (($A122+2)/100)^2))/($B$9+2*(($A122+2)/100)*SQRT(1+$B$10^2)),0)&gt;0,(1/$B$17)*(IF(($B$9+2*(($A122+2)/100)*SQRT(1+$B$10^2))&gt;0,(($B$9 * (($A122+2)/100))+($B$10 * (($A122+2)/100)^2))/($B$9+2*(($A122+2)/100)*SQRT(1+$B$10^2)),0)^(2/3))*SQRT($B$16),0) * (($B$9 * (($A122+2)/100)) + (($B$10 * (($A122+2)/100)^2) * $B$19)))</f>
        <v/>
      </c>
      <c r="E122" s="12" t="str">
        <f>IF(($A122+3)&gt;$B$11, "", IF(IF(($B$9+2*(($A122+3)/100)*SQRT(1+$B$10^2))&gt;0,(($B$9 * (($A122+3)/100))+($B$10 * (($A122+3)/100)^2))/($B$9+2*(($A122+3)/100)*SQRT(1+$B$10^2)),0)&gt;0,(1/$B$17)*(IF(($B$9+2*(($A122+3)/100)*SQRT(1+$B$10^2))&gt;0,(($B$9 * (($A122+3)/100))+($B$10 * (($A122+3)/100)^2))/($B$9+2*(($A122+3)/100)*SQRT(1+$B$10^2)),0)^(2/3))*SQRT($B$16),0) * (($B$9 * (($A122+3)/100)) + (($B$10 * (($A122+3)/100)^2) * $B$19)))</f>
        <v/>
      </c>
      <c r="F122" s="12" t="str">
        <f>IF(($A122+4)&gt;$B$11, "", IF(IF(($B$9+2*(($A122+4)/100)*SQRT(1+$B$10^2))&gt;0,(($B$9 * (($A122+4)/100))+($B$10 * (($A122+4)/100)^2))/($B$9+2*(($A122+4)/100)*SQRT(1+$B$10^2)),0)&gt;0,(1/$B$17)*(IF(($B$9+2*(($A122+4)/100)*SQRT(1+$B$10^2))&gt;0,(($B$9 * (($A122+4)/100))+($B$10 * (($A122+4)/100)^2))/($B$9+2*(($A122+4)/100)*SQRT(1+$B$10^2)),0)^(2/3))*SQRT($B$16),0) * (($B$9 * (($A122+4)/100)) + (($B$10 * (($A122+4)/100)^2) * $B$19)))</f>
        <v/>
      </c>
      <c r="G122" s="12" t="str">
        <f>IF(($A122+5)&gt;$B$11, "", IF(IF(($B$9+2*(($A122+5)/100)*SQRT(1+$B$10^2))&gt;0,(($B$9 * (($A122+5)/100))+($B$10 * (($A122+5)/100)^2))/($B$9+2*(($A122+5)/100)*SQRT(1+$B$10^2)),0)&gt;0,(1/$B$17)*(IF(($B$9+2*(($A122+5)/100)*SQRT(1+$B$10^2))&gt;0,(($B$9 * (($A122+5)/100))+($B$10 * (($A122+5)/100)^2))/($B$9+2*(($A122+5)/100)*SQRT(1+$B$10^2)),0)^(2/3))*SQRT($B$16),0) * (($B$9 * (($A122+5)/100)) + (($B$10 * (($A122+5)/100)^2) * $B$19)))</f>
        <v/>
      </c>
      <c r="H122" s="12" t="str">
        <f>IF(($A122+6)&gt;$B$11, "", IF(IF(($B$9+2*(($A122+6)/100)*SQRT(1+$B$10^2))&gt;0,(($B$9 * (($A122+6)/100))+($B$10 * (($A122+6)/100)^2))/($B$9+2*(($A122+6)/100)*SQRT(1+$B$10^2)),0)&gt;0,(1/$B$17)*(IF(($B$9+2*(($A122+6)/100)*SQRT(1+$B$10^2))&gt;0,(($B$9 * (($A122+6)/100))+($B$10 * (($A122+6)/100)^2))/($B$9+2*(($A122+6)/100)*SQRT(1+$B$10^2)),0)^(2/3))*SQRT($B$16),0) * (($B$9 * (($A122+6)/100)) + (($B$10 * (($A122+6)/100)^2) * $B$19)))</f>
        <v/>
      </c>
      <c r="I122" s="12" t="str">
        <f>IF(($A122+7)&gt;$B$11, "", IF(IF(($B$9+2*(($A122+7)/100)*SQRT(1+$B$10^2))&gt;0,(($B$9 * (($A122+7)/100))+($B$10 * (($A122+7)/100)^2))/($B$9+2*(($A122+7)/100)*SQRT(1+$B$10^2)),0)&gt;0,(1/$B$17)*(IF(($B$9+2*(($A122+7)/100)*SQRT(1+$B$10^2))&gt;0,(($B$9 * (($A122+7)/100))+($B$10 * (($A122+7)/100)^2))/($B$9+2*(($A122+7)/100)*SQRT(1+$B$10^2)),0)^(2/3))*SQRT($B$16),0) * (($B$9 * (($A122+7)/100)) + (($B$10 * (($A122+7)/100)^2) * $B$19)))</f>
        <v/>
      </c>
      <c r="J122" s="12" t="str">
        <f>IF(($A122+8)&gt;$B$11, "", IF(IF(($B$9+2*(($A122+8)/100)*SQRT(1+$B$10^2))&gt;0,(($B$9 * (($A122+8)/100))+($B$10 * (($A122+8)/100)^2))/($B$9+2*(($A122+8)/100)*SQRT(1+$B$10^2)),0)&gt;0,(1/$B$17)*(IF(($B$9+2*(($A122+8)/100)*SQRT(1+$B$10^2))&gt;0,(($B$9 * (($A122+8)/100))+($B$10 * (($A122+8)/100)^2))/($B$9+2*(($A122+8)/100)*SQRT(1+$B$10^2)),0)^(2/3))*SQRT($B$16),0) * (($B$9 * (($A122+8)/100)) + (($B$10 * (($A122+8)/100)^2) * $B$19)))</f>
        <v/>
      </c>
      <c r="K122" s="12" t="str">
        <f>IF(($A122+9)&gt;$B$11, "", IF(IF(($B$9+2*(($A122+9)/100)*SQRT(1+$B$10^2))&gt;0,(($B$9 * (($A122+9)/100))+($B$10 * (($A122+9)/100)^2))/($B$9+2*(($A122+9)/100)*SQRT(1+$B$10^2)),0)&gt;0,(1/$B$17)*(IF(($B$9+2*(($A122+9)/100)*SQRT(1+$B$10^2))&gt;0,(($B$9 * (($A122+9)/100))+($B$10 * (($A122+9)/100)^2))/($B$9+2*(($A122+9)/100)*SQRT(1+$B$10^2)),0)^(2/3))*SQRT($B$16),0) * (($B$9 * (($A122+9)/100)) + (($B$10 * (($A122+9)/100)^2) * $B$19)))</f>
        <v/>
      </c>
    </row>
    <row r="123">
      <c r="A123" s="11">
        <v>330</v>
      </c>
      <c r="B123" s="12" t="str">
        <f>IF(($A123+0)&gt;$B$11, "", IF(IF(($B$9+2*(($A123+0)/100)*SQRT(1+$B$10^2))&gt;0,(($B$9 * (($A123+0)/100))+($B$10 * (($A123+0)/100)^2))/($B$9+2*(($A123+0)/100)*SQRT(1+$B$10^2)),0)&gt;0,(1/$B$17)*(IF(($B$9+2*(($A123+0)/100)*SQRT(1+$B$10^2))&gt;0,(($B$9 * (($A123+0)/100))+($B$10 * (($A123+0)/100)^2))/($B$9+2*(($A123+0)/100)*SQRT(1+$B$10^2)),0)^(2/3))*SQRT($B$16),0) * (($B$9 * (($A123+0)/100)) + (($B$10 * (($A123+0)/100)^2) * $B$19)))</f>
        <v/>
      </c>
      <c r="C123" s="12" t="str">
        <f>IF(($A123+1)&gt;$B$11, "", IF(IF(($B$9+2*(($A123+1)/100)*SQRT(1+$B$10^2))&gt;0,(($B$9 * (($A123+1)/100))+($B$10 * (($A123+1)/100)^2))/($B$9+2*(($A123+1)/100)*SQRT(1+$B$10^2)),0)&gt;0,(1/$B$17)*(IF(($B$9+2*(($A123+1)/100)*SQRT(1+$B$10^2))&gt;0,(($B$9 * (($A123+1)/100))+($B$10 * (($A123+1)/100)^2))/($B$9+2*(($A123+1)/100)*SQRT(1+$B$10^2)),0)^(2/3))*SQRT($B$16),0) * (($B$9 * (($A123+1)/100)) + (($B$10 * (($A123+1)/100)^2) * $B$19)))</f>
        <v/>
      </c>
      <c r="D123" s="12" t="str">
        <f>IF(($A123+2)&gt;$B$11, "", IF(IF(($B$9+2*(($A123+2)/100)*SQRT(1+$B$10^2))&gt;0,(($B$9 * (($A123+2)/100))+($B$10 * (($A123+2)/100)^2))/($B$9+2*(($A123+2)/100)*SQRT(1+$B$10^2)),0)&gt;0,(1/$B$17)*(IF(($B$9+2*(($A123+2)/100)*SQRT(1+$B$10^2))&gt;0,(($B$9 * (($A123+2)/100))+($B$10 * (($A123+2)/100)^2))/($B$9+2*(($A123+2)/100)*SQRT(1+$B$10^2)),0)^(2/3))*SQRT($B$16),0) * (($B$9 * (($A123+2)/100)) + (($B$10 * (($A123+2)/100)^2) * $B$19)))</f>
        <v/>
      </c>
      <c r="E123" s="12" t="str">
        <f>IF(($A123+3)&gt;$B$11, "", IF(IF(($B$9+2*(($A123+3)/100)*SQRT(1+$B$10^2))&gt;0,(($B$9 * (($A123+3)/100))+($B$10 * (($A123+3)/100)^2))/($B$9+2*(($A123+3)/100)*SQRT(1+$B$10^2)),0)&gt;0,(1/$B$17)*(IF(($B$9+2*(($A123+3)/100)*SQRT(1+$B$10^2))&gt;0,(($B$9 * (($A123+3)/100))+($B$10 * (($A123+3)/100)^2))/($B$9+2*(($A123+3)/100)*SQRT(1+$B$10^2)),0)^(2/3))*SQRT($B$16),0) * (($B$9 * (($A123+3)/100)) + (($B$10 * (($A123+3)/100)^2) * $B$19)))</f>
        <v/>
      </c>
      <c r="F123" s="12" t="str">
        <f>IF(($A123+4)&gt;$B$11, "", IF(IF(($B$9+2*(($A123+4)/100)*SQRT(1+$B$10^2))&gt;0,(($B$9 * (($A123+4)/100))+($B$10 * (($A123+4)/100)^2))/($B$9+2*(($A123+4)/100)*SQRT(1+$B$10^2)),0)&gt;0,(1/$B$17)*(IF(($B$9+2*(($A123+4)/100)*SQRT(1+$B$10^2))&gt;0,(($B$9 * (($A123+4)/100))+($B$10 * (($A123+4)/100)^2))/($B$9+2*(($A123+4)/100)*SQRT(1+$B$10^2)),0)^(2/3))*SQRT($B$16),0) * (($B$9 * (($A123+4)/100)) + (($B$10 * (($A123+4)/100)^2) * $B$19)))</f>
        <v/>
      </c>
      <c r="G123" s="12" t="str">
        <f>IF(($A123+5)&gt;$B$11, "", IF(IF(($B$9+2*(($A123+5)/100)*SQRT(1+$B$10^2))&gt;0,(($B$9 * (($A123+5)/100))+($B$10 * (($A123+5)/100)^2))/($B$9+2*(($A123+5)/100)*SQRT(1+$B$10^2)),0)&gt;0,(1/$B$17)*(IF(($B$9+2*(($A123+5)/100)*SQRT(1+$B$10^2))&gt;0,(($B$9 * (($A123+5)/100))+($B$10 * (($A123+5)/100)^2))/($B$9+2*(($A123+5)/100)*SQRT(1+$B$10^2)),0)^(2/3))*SQRT($B$16),0) * (($B$9 * (($A123+5)/100)) + (($B$10 * (($A123+5)/100)^2) * $B$19)))</f>
        <v/>
      </c>
      <c r="H123" s="12" t="str">
        <f>IF(($A123+6)&gt;$B$11, "", IF(IF(($B$9+2*(($A123+6)/100)*SQRT(1+$B$10^2))&gt;0,(($B$9 * (($A123+6)/100))+($B$10 * (($A123+6)/100)^2))/($B$9+2*(($A123+6)/100)*SQRT(1+$B$10^2)),0)&gt;0,(1/$B$17)*(IF(($B$9+2*(($A123+6)/100)*SQRT(1+$B$10^2))&gt;0,(($B$9 * (($A123+6)/100))+($B$10 * (($A123+6)/100)^2))/($B$9+2*(($A123+6)/100)*SQRT(1+$B$10^2)),0)^(2/3))*SQRT($B$16),0) * (($B$9 * (($A123+6)/100)) + (($B$10 * (($A123+6)/100)^2) * $B$19)))</f>
        <v/>
      </c>
      <c r="I123" s="12" t="str">
        <f>IF(($A123+7)&gt;$B$11, "", IF(IF(($B$9+2*(($A123+7)/100)*SQRT(1+$B$10^2))&gt;0,(($B$9 * (($A123+7)/100))+($B$10 * (($A123+7)/100)^2))/($B$9+2*(($A123+7)/100)*SQRT(1+$B$10^2)),0)&gt;0,(1/$B$17)*(IF(($B$9+2*(($A123+7)/100)*SQRT(1+$B$10^2))&gt;0,(($B$9 * (($A123+7)/100))+($B$10 * (($A123+7)/100)^2))/($B$9+2*(($A123+7)/100)*SQRT(1+$B$10^2)),0)^(2/3))*SQRT($B$16),0) * (($B$9 * (($A123+7)/100)) + (($B$10 * (($A123+7)/100)^2) * $B$19)))</f>
        <v/>
      </c>
      <c r="J123" s="12" t="str">
        <f>IF(($A123+8)&gt;$B$11, "", IF(IF(($B$9+2*(($A123+8)/100)*SQRT(1+$B$10^2))&gt;0,(($B$9 * (($A123+8)/100))+($B$10 * (($A123+8)/100)^2))/($B$9+2*(($A123+8)/100)*SQRT(1+$B$10^2)),0)&gt;0,(1/$B$17)*(IF(($B$9+2*(($A123+8)/100)*SQRT(1+$B$10^2))&gt;0,(($B$9 * (($A123+8)/100))+($B$10 * (($A123+8)/100)^2))/($B$9+2*(($A123+8)/100)*SQRT(1+$B$10^2)),0)^(2/3))*SQRT($B$16),0) * (($B$9 * (($A123+8)/100)) + (($B$10 * (($A123+8)/100)^2) * $B$19)))</f>
        <v/>
      </c>
      <c r="K123" s="12" t="str">
        <f>IF(($A123+9)&gt;$B$11, "", IF(IF(($B$9+2*(($A123+9)/100)*SQRT(1+$B$10^2))&gt;0,(($B$9 * (($A123+9)/100))+($B$10 * (($A123+9)/100)^2))/($B$9+2*(($A123+9)/100)*SQRT(1+$B$10^2)),0)&gt;0,(1/$B$17)*(IF(($B$9+2*(($A123+9)/100)*SQRT(1+$B$10^2))&gt;0,(($B$9 * (($A123+9)/100))+($B$10 * (($A123+9)/100)^2))/($B$9+2*(($A123+9)/100)*SQRT(1+$B$10^2)),0)^(2/3))*SQRT($B$16),0) * (($B$9 * (($A123+9)/100)) + (($B$10 * (($A123+9)/100)^2) * $B$19)))</f>
        <v/>
      </c>
    </row>
    <row r="124">
      <c r="A124" s="11">
        <v>340</v>
      </c>
      <c r="B124" s="12" t="str">
        <f>IF(($A124+0)&gt;$B$11, "", IF(IF(($B$9+2*(($A124+0)/100)*SQRT(1+$B$10^2))&gt;0,(($B$9 * (($A124+0)/100))+($B$10 * (($A124+0)/100)^2))/($B$9+2*(($A124+0)/100)*SQRT(1+$B$10^2)),0)&gt;0,(1/$B$17)*(IF(($B$9+2*(($A124+0)/100)*SQRT(1+$B$10^2))&gt;0,(($B$9 * (($A124+0)/100))+($B$10 * (($A124+0)/100)^2))/($B$9+2*(($A124+0)/100)*SQRT(1+$B$10^2)),0)^(2/3))*SQRT($B$16),0) * (($B$9 * (($A124+0)/100)) + (($B$10 * (($A124+0)/100)^2) * $B$19)))</f>
        <v/>
      </c>
      <c r="C124" s="12" t="str">
        <f>IF(($A124+1)&gt;$B$11, "", IF(IF(($B$9+2*(($A124+1)/100)*SQRT(1+$B$10^2))&gt;0,(($B$9 * (($A124+1)/100))+($B$10 * (($A124+1)/100)^2))/($B$9+2*(($A124+1)/100)*SQRT(1+$B$10^2)),0)&gt;0,(1/$B$17)*(IF(($B$9+2*(($A124+1)/100)*SQRT(1+$B$10^2))&gt;0,(($B$9 * (($A124+1)/100))+($B$10 * (($A124+1)/100)^2))/($B$9+2*(($A124+1)/100)*SQRT(1+$B$10^2)),0)^(2/3))*SQRT($B$16),0) * (($B$9 * (($A124+1)/100)) + (($B$10 * (($A124+1)/100)^2) * $B$19)))</f>
        <v/>
      </c>
      <c r="D124" s="12" t="str">
        <f>IF(($A124+2)&gt;$B$11, "", IF(IF(($B$9+2*(($A124+2)/100)*SQRT(1+$B$10^2))&gt;0,(($B$9 * (($A124+2)/100))+($B$10 * (($A124+2)/100)^2))/($B$9+2*(($A124+2)/100)*SQRT(1+$B$10^2)),0)&gt;0,(1/$B$17)*(IF(($B$9+2*(($A124+2)/100)*SQRT(1+$B$10^2))&gt;0,(($B$9 * (($A124+2)/100))+($B$10 * (($A124+2)/100)^2))/($B$9+2*(($A124+2)/100)*SQRT(1+$B$10^2)),0)^(2/3))*SQRT($B$16),0) * (($B$9 * (($A124+2)/100)) + (($B$10 * (($A124+2)/100)^2) * $B$19)))</f>
        <v/>
      </c>
      <c r="E124" s="12" t="str">
        <f>IF(($A124+3)&gt;$B$11, "", IF(IF(($B$9+2*(($A124+3)/100)*SQRT(1+$B$10^2))&gt;0,(($B$9 * (($A124+3)/100))+($B$10 * (($A124+3)/100)^2))/($B$9+2*(($A124+3)/100)*SQRT(1+$B$10^2)),0)&gt;0,(1/$B$17)*(IF(($B$9+2*(($A124+3)/100)*SQRT(1+$B$10^2))&gt;0,(($B$9 * (($A124+3)/100))+($B$10 * (($A124+3)/100)^2))/($B$9+2*(($A124+3)/100)*SQRT(1+$B$10^2)),0)^(2/3))*SQRT($B$16),0) * (($B$9 * (($A124+3)/100)) + (($B$10 * (($A124+3)/100)^2) * $B$19)))</f>
        <v/>
      </c>
      <c r="F124" s="12" t="str">
        <f>IF(($A124+4)&gt;$B$11, "", IF(IF(($B$9+2*(($A124+4)/100)*SQRT(1+$B$10^2))&gt;0,(($B$9 * (($A124+4)/100))+($B$10 * (($A124+4)/100)^2))/($B$9+2*(($A124+4)/100)*SQRT(1+$B$10^2)),0)&gt;0,(1/$B$17)*(IF(($B$9+2*(($A124+4)/100)*SQRT(1+$B$10^2))&gt;0,(($B$9 * (($A124+4)/100))+($B$10 * (($A124+4)/100)^2))/($B$9+2*(($A124+4)/100)*SQRT(1+$B$10^2)),0)^(2/3))*SQRT($B$16),0) * (($B$9 * (($A124+4)/100)) + (($B$10 * (($A124+4)/100)^2) * $B$19)))</f>
        <v/>
      </c>
      <c r="G124" s="12" t="str">
        <f>IF(($A124+5)&gt;$B$11, "", IF(IF(($B$9+2*(($A124+5)/100)*SQRT(1+$B$10^2))&gt;0,(($B$9 * (($A124+5)/100))+($B$10 * (($A124+5)/100)^2))/($B$9+2*(($A124+5)/100)*SQRT(1+$B$10^2)),0)&gt;0,(1/$B$17)*(IF(($B$9+2*(($A124+5)/100)*SQRT(1+$B$10^2))&gt;0,(($B$9 * (($A124+5)/100))+($B$10 * (($A124+5)/100)^2))/($B$9+2*(($A124+5)/100)*SQRT(1+$B$10^2)),0)^(2/3))*SQRT($B$16),0) * (($B$9 * (($A124+5)/100)) + (($B$10 * (($A124+5)/100)^2) * $B$19)))</f>
        <v/>
      </c>
      <c r="H124" s="12" t="str">
        <f>IF(($A124+6)&gt;$B$11, "", IF(IF(($B$9+2*(($A124+6)/100)*SQRT(1+$B$10^2))&gt;0,(($B$9 * (($A124+6)/100))+($B$10 * (($A124+6)/100)^2))/($B$9+2*(($A124+6)/100)*SQRT(1+$B$10^2)),0)&gt;0,(1/$B$17)*(IF(($B$9+2*(($A124+6)/100)*SQRT(1+$B$10^2))&gt;0,(($B$9 * (($A124+6)/100))+($B$10 * (($A124+6)/100)^2))/($B$9+2*(($A124+6)/100)*SQRT(1+$B$10^2)),0)^(2/3))*SQRT($B$16),0) * (($B$9 * (($A124+6)/100)) + (($B$10 * (($A124+6)/100)^2) * $B$19)))</f>
        <v/>
      </c>
      <c r="I124" s="12" t="str">
        <f>IF(($A124+7)&gt;$B$11, "", IF(IF(($B$9+2*(($A124+7)/100)*SQRT(1+$B$10^2))&gt;0,(($B$9 * (($A124+7)/100))+($B$10 * (($A124+7)/100)^2))/($B$9+2*(($A124+7)/100)*SQRT(1+$B$10^2)),0)&gt;0,(1/$B$17)*(IF(($B$9+2*(($A124+7)/100)*SQRT(1+$B$10^2))&gt;0,(($B$9 * (($A124+7)/100))+($B$10 * (($A124+7)/100)^2))/($B$9+2*(($A124+7)/100)*SQRT(1+$B$10^2)),0)^(2/3))*SQRT($B$16),0) * (($B$9 * (($A124+7)/100)) + (($B$10 * (($A124+7)/100)^2) * $B$19)))</f>
        <v/>
      </c>
      <c r="J124" s="12" t="str">
        <f>IF(($A124+8)&gt;$B$11, "", IF(IF(($B$9+2*(($A124+8)/100)*SQRT(1+$B$10^2))&gt;0,(($B$9 * (($A124+8)/100))+($B$10 * (($A124+8)/100)^2))/($B$9+2*(($A124+8)/100)*SQRT(1+$B$10^2)),0)&gt;0,(1/$B$17)*(IF(($B$9+2*(($A124+8)/100)*SQRT(1+$B$10^2))&gt;0,(($B$9 * (($A124+8)/100))+($B$10 * (($A124+8)/100)^2))/($B$9+2*(($A124+8)/100)*SQRT(1+$B$10^2)),0)^(2/3))*SQRT($B$16),0) * (($B$9 * (($A124+8)/100)) + (($B$10 * (($A124+8)/100)^2) * $B$19)))</f>
        <v/>
      </c>
      <c r="K124" s="12" t="str">
        <f>IF(($A124+9)&gt;$B$11, "", IF(IF(($B$9+2*(($A124+9)/100)*SQRT(1+$B$10^2))&gt;0,(($B$9 * (($A124+9)/100))+($B$10 * (($A124+9)/100)^2))/($B$9+2*(($A124+9)/100)*SQRT(1+$B$10^2)),0)&gt;0,(1/$B$17)*(IF(($B$9+2*(($A124+9)/100)*SQRT(1+$B$10^2))&gt;0,(($B$9 * (($A124+9)/100))+($B$10 * (($A124+9)/100)^2))/($B$9+2*(($A124+9)/100)*SQRT(1+$B$10^2)),0)^(2/3))*SQRT($B$16),0) * (($B$9 * (($A124+9)/100)) + (($B$10 * (($A124+9)/100)^2) * $B$19)))</f>
        <v/>
      </c>
    </row>
    <row r="125">
      <c r="A125" s="11">
        <v>350</v>
      </c>
      <c r="B125" s="12" t="str">
        <f>IF(($A125+0)&gt;$B$11, "", IF(IF(($B$9+2*(($A125+0)/100)*SQRT(1+$B$10^2))&gt;0,(($B$9 * (($A125+0)/100))+($B$10 * (($A125+0)/100)^2))/($B$9+2*(($A125+0)/100)*SQRT(1+$B$10^2)),0)&gt;0,(1/$B$17)*(IF(($B$9+2*(($A125+0)/100)*SQRT(1+$B$10^2))&gt;0,(($B$9 * (($A125+0)/100))+($B$10 * (($A125+0)/100)^2))/($B$9+2*(($A125+0)/100)*SQRT(1+$B$10^2)),0)^(2/3))*SQRT($B$16),0) * (($B$9 * (($A125+0)/100)) + (($B$10 * (($A125+0)/100)^2) * $B$19)))</f>
        <v/>
      </c>
      <c r="C125" s="12" t="str">
        <f>IF(($A125+1)&gt;$B$11, "", IF(IF(($B$9+2*(($A125+1)/100)*SQRT(1+$B$10^2))&gt;0,(($B$9 * (($A125+1)/100))+($B$10 * (($A125+1)/100)^2))/($B$9+2*(($A125+1)/100)*SQRT(1+$B$10^2)),0)&gt;0,(1/$B$17)*(IF(($B$9+2*(($A125+1)/100)*SQRT(1+$B$10^2))&gt;0,(($B$9 * (($A125+1)/100))+($B$10 * (($A125+1)/100)^2))/($B$9+2*(($A125+1)/100)*SQRT(1+$B$10^2)),0)^(2/3))*SQRT($B$16),0) * (($B$9 * (($A125+1)/100)) + (($B$10 * (($A125+1)/100)^2) * $B$19)))</f>
        <v/>
      </c>
      <c r="D125" s="12" t="str">
        <f>IF(($A125+2)&gt;$B$11, "", IF(IF(($B$9+2*(($A125+2)/100)*SQRT(1+$B$10^2))&gt;0,(($B$9 * (($A125+2)/100))+($B$10 * (($A125+2)/100)^2))/($B$9+2*(($A125+2)/100)*SQRT(1+$B$10^2)),0)&gt;0,(1/$B$17)*(IF(($B$9+2*(($A125+2)/100)*SQRT(1+$B$10^2))&gt;0,(($B$9 * (($A125+2)/100))+($B$10 * (($A125+2)/100)^2))/($B$9+2*(($A125+2)/100)*SQRT(1+$B$10^2)),0)^(2/3))*SQRT($B$16),0) * (($B$9 * (($A125+2)/100)) + (($B$10 * (($A125+2)/100)^2) * $B$19)))</f>
        <v/>
      </c>
      <c r="E125" s="12" t="str">
        <f>IF(($A125+3)&gt;$B$11, "", IF(IF(($B$9+2*(($A125+3)/100)*SQRT(1+$B$10^2))&gt;0,(($B$9 * (($A125+3)/100))+($B$10 * (($A125+3)/100)^2))/($B$9+2*(($A125+3)/100)*SQRT(1+$B$10^2)),0)&gt;0,(1/$B$17)*(IF(($B$9+2*(($A125+3)/100)*SQRT(1+$B$10^2))&gt;0,(($B$9 * (($A125+3)/100))+($B$10 * (($A125+3)/100)^2))/($B$9+2*(($A125+3)/100)*SQRT(1+$B$10^2)),0)^(2/3))*SQRT($B$16),0) * (($B$9 * (($A125+3)/100)) + (($B$10 * (($A125+3)/100)^2) * $B$19)))</f>
        <v/>
      </c>
      <c r="F125" s="12" t="str">
        <f>IF(($A125+4)&gt;$B$11, "", IF(IF(($B$9+2*(($A125+4)/100)*SQRT(1+$B$10^2))&gt;0,(($B$9 * (($A125+4)/100))+($B$10 * (($A125+4)/100)^2))/($B$9+2*(($A125+4)/100)*SQRT(1+$B$10^2)),0)&gt;0,(1/$B$17)*(IF(($B$9+2*(($A125+4)/100)*SQRT(1+$B$10^2))&gt;0,(($B$9 * (($A125+4)/100))+($B$10 * (($A125+4)/100)^2))/($B$9+2*(($A125+4)/100)*SQRT(1+$B$10^2)),0)^(2/3))*SQRT($B$16),0) * (($B$9 * (($A125+4)/100)) + (($B$10 * (($A125+4)/100)^2) * $B$19)))</f>
        <v/>
      </c>
      <c r="G125" s="12" t="str">
        <f>IF(($A125+5)&gt;$B$11, "", IF(IF(($B$9+2*(($A125+5)/100)*SQRT(1+$B$10^2))&gt;0,(($B$9 * (($A125+5)/100))+($B$10 * (($A125+5)/100)^2))/($B$9+2*(($A125+5)/100)*SQRT(1+$B$10^2)),0)&gt;0,(1/$B$17)*(IF(($B$9+2*(($A125+5)/100)*SQRT(1+$B$10^2))&gt;0,(($B$9 * (($A125+5)/100))+($B$10 * (($A125+5)/100)^2))/($B$9+2*(($A125+5)/100)*SQRT(1+$B$10^2)),0)^(2/3))*SQRT($B$16),0) * (($B$9 * (($A125+5)/100)) + (($B$10 * (($A125+5)/100)^2) * $B$19)))</f>
        <v/>
      </c>
      <c r="H125" s="12" t="str">
        <f>IF(($A125+6)&gt;$B$11, "", IF(IF(($B$9+2*(($A125+6)/100)*SQRT(1+$B$10^2))&gt;0,(($B$9 * (($A125+6)/100))+($B$10 * (($A125+6)/100)^2))/($B$9+2*(($A125+6)/100)*SQRT(1+$B$10^2)),0)&gt;0,(1/$B$17)*(IF(($B$9+2*(($A125+6)/100)*SQRT(1+$B$10^2))&gt;0,(($B$9 * (($A125+6)/100))+($B$10 * (($A125+6)/100)^2))/($B$9+2*(($A125+6)/100)*SQRT(1+$B$10^2)),0)^(2/3))*SQRT($B$16),0) * (($B$9 * (($A125+6)/100)) + (($B$10 * (($A125+6)/100)^2) * $B$19)))</f>
        <v/>
      </c>
      <c r="I125" s="12" t="str">
        <f>IF(($A125+7)&gt;$B$11, "", IF(IF(($B$9+2*(($A125+7)/100)*SQRT(1+$B$10^2))&gt;0,(($B$9 * (($A125+7)/100))+($B$10 * (($A125+7)/100)^2))/($B$9+2*(($A125+7)/100)*SQRT(1+$B$10^2)),0)&gt;0,(1/$B$17)*(IF(($B$9+2*(($A125+7)/100)*SQRT(1+$B$10^2))&gt;0,(($B$9 * (($A125+7)/100))+($B$10 * (($A125+7)/100)^2))/($B$9+2*(($A125+7)/100)*SQRT(1+$B$10^2)),0)^(2/3))*SQRT($B$16),0) * (($B$9 * (($A125+7)/100)) + (($B$10 * (($A125+7)/100)^2) * $B$19)))</f>
        <v/>
      </c>
      <c r="J125" s="12" t="str">
        <f>IF(($A125+8)&gt;$B$11, "", IF(IF(($B$9+2*(($A125+8)/100)*SQRT(1+$B$10^2))&gt;0,(($B$9 * (($A125+8)/100))+($B$10 * (($A125+8)/100)^2))/($B$9+2*(($A125+8)/100)*SQRT(1+$B$10^2)),0)&gt;0,(1/$B$17)*(IF(($B$9+2*(($A125+8)/100)*SQRT(1+$B$10^2))&gt;0,(($B$9 * (($A125+8)/100))+($B$10 * (($A125+8)/100)^2))/($B$9+2*(($A125+8)/100)*SQRT(1+$B$10^2)),0)^(2/3))*SQRT($B$16),0) * (($B$9 * (($A125+8)/100)) + (($B$10 * (($A125+8)/100)^2) * $B$19)))</f>
        <v/>
      </c>
      <c r="K125" s="12" t="str">
        <f>IF(($A125+9)&gt;$B$11, "", IF(IF(($B$9+2*(($A125+9)/100)*SQRT(1+$B$10^2))&gt;0,(($B$9 * (($A125+9)/100))+($B$10 * (($A125+9)/100)^2))/($B$9+2*(($A125+9)/100)*SQRT(1+$B$10^2)),0)&gt;0,(1/$B$17)*(IF(($B$9+2*(($A125+9)/100)*SQRT(1+$B$10^2))&gt;0,(($B$9 * (($A125+9)/100))+($B$10 * (($A125+9)/100)^2))/($B$9+2*(($A125+9)/100)*SQRT(1+$B$10^2)),0)^(2/3))*SQRT($B$16),0) * (($B$9 * (($A125+9)/100)) + (($B$10 * (($A125+9)/100)^2) * $B$19)))</f>
        <v/>
      </c>
    </row>
    <row r="126">
      <c r="A126" s="11">
        <v>360</v>
      </c>
      <c r="B126" s="12" t="str">
        <f>IF(($A126+0)&gt;$B$11, "", IF(IF(($B$9+2*(($A126+0)/100)*SQRT(1+$B$10^2))&gt;0,(($B$9 * (($A126+0)/100))+($B$10 * (($A126+0)/100)^2))/($B$9+2*(($A126+0)/100)*SQRT(1+$B$10^2)),0)&gt;0,(1/$B$17)*(IF(($B$9+2*(($A126+0)/100)*SQRT(1+$B$10^2))&gt;0,(($B$9 * (($A126+0)/100))+($B$10 * (($A126+0)/100)^2))/($B$9+2*(($A126+0)/100)*SQRT(1+$B$10^2)),0)^(2/3))*SQRT($B$16),0) * (($B$9 * (($A126+0)/100)) + (($B$10 * (($A126+0)/100)^2) * $B$19)))</f>
        <v/>
      </c>
      <c r="C126" s="12" t="str">
        <f>IF(($A126+1)&gt;$B$11, "", IF(IF(($B$9+2*(($A126+1)/100)*SQRT(1+$B$10^2))&gt;0,(($B$9 * (($A126+1)/100))+($B$10 * (($A126+1)/100)^2))/($B$9+2*(($A126+1)/100)*SQRT(1+$B$10^2)),0)&gt;0,(1/$B$17)*(IF(($B$9+2*(($A126+1)/100)*SQRT(1+$B$10^2))&gt;0,(($B$9 * (($A126+1)/100))+($B$10 * (($A126+1)/100)^2))/($B$9+2*(($A126+1)/100)*SQRT(1+$B$10^2)),0)^(2/3))*SQRT($B$16),0) * (($B$9 * (($A126+1)/100)) + (($B$10 * (($A126+1)/100)^2) * $B$19)))</f>
        <v/>
      </c>
      <c r="D126" s="12" t="str">
        <f>IF(($A126+2)&gt;$B$11, "", IF(IF(($B$9+2*(($A126+2)/100)*SQRT(1+$B$10^2))&gt;0,(($B$9 * (($A126+2)/100))+($B$10 * (($A126+2)/100)^2))/($B$9+2*(($A126+2)/100)*SQRT(1+$B$10^2)),0)&gt;0,(1/$B$17)*(IF(($B$9+2*(($A126+2)/100)*SQRT(1+$B$10^2))&gt;0,(($B$9 * (($A126+2)/100))+($B$10 * (($A126+2)/100)^2))/($B$9+2*(($A126+2)/100)*SQRT(1+$B$10^2)),0)^(2/3))*SQRT($B$16),0) * (($B$9 * (($A126+2)/100)) + (($B$10 * (($A126+2)/100)^2) * $B$19)))</f>
        <v/>
      </c>
      <c r="E126" s="12" t="str">
        <f>IF(($A126+3)&gt;$B$11, "", IF(IF(($B$9+2*(($A126+3)/100)*SQRT(1+$B$10^2))&gt;0,(($B$9 * (($A126+3)/100))+($B$10 * (($A126+3)/100)^2))/($B$9+2*(($A126+3)/100)*SQRT(1+$B$10^2)),0)&gt;0,(1/$B$17)*(IF(($B$9+2*(($A126+3)/100)*SQRT(1+$B$10^2))&gt;0,(($B$9 * (($A126+3)/100))+($B$10 * (($A126+3)/100)^2))/($B$9+2*(($A126+3)/100)*SQRT(1+$B$10^2)),0)^(2/3))*SQRT($B$16),0) * (($B$9 * (($A126+3)/100)) + (($B$10 * (($A126+3)/100)^2) * $B$19)))</f>
        <v/>
      </c>
      <c r="F126" s="12" t="str">
        <f>IF(($A126+4)&gt;$B$11, "", IF(IF(($B$9+2*(($A126+4)/100)*SQRT(1+$B$10^2))&gt;0,(($B$9 * (($A126+4)/100))+($B$10 * (($A126+4)/100)^2))/($B$9+2*(($A126+4)/100)*SQRT(1+$B$10^2)),0)&gt;0,(1/$B$17)*(IF(($B$9+2*(($A126+4)/100)*SQRT(1+$B$10^2))&gt;0,(($B$9 * (($A126+4)/100))+($B$10 * (($A126+4)/100)^2))/($B$9+2*(($A126+4)/100)*SQRT(1+$B$10^2)),0)^(2/3))*SQRT($B$16),0) * (($B$9 * (($A126+4)/100)) + (($B$10 * (($A126+4)/100)^2) * $B$19)))</f>
        <v/>
      </c>
      <c r="G126" s="12" t="str">
        <f>IF(($A126+5)&gt;$B$11, "", IF(IF(($B$9+2*(($A126+5)/100)*SQRT(1+$B$10^2))&gt;0,(($B$9 * (($A126+5)/100))+($B$10 * (($A126+5)/100)^2))/($B$9+2*(($A126+5)/100)*SQRT(1+$B$10^2)),0)&gt;0,(1/$B$17)*(IF(($B$9+2*(($A126+5)/100)*SQRT(1+$B$10^2))&gt;0,(($B$9 * (($A126+5)/100))+($B$10 * (($A126+5)/100)^2))/($B$9+2*(($A126+5)/100)*SQRT(1+$B$10^2)),0)^(2/3))*SQRT($B$16),0) * (($B$9 * (($A126+5)/100)) + (($B$10 * (($A126+5)/100)^2) * $B$19)))</f>
        <v/>
      </c>
      <c r="H126" s="12" t="str">
        <f>IF(($A126+6)&gt;$B$11, "", IF(IF(($B$9+2*(($A126+6)/100)*SQRT(1+$B$10^2))&gt;0,(($B$9 * (($A126+6)/100))+($B$10 * (($A126+6)/100)^2))/($B$9+2*(($A126+6)/100)*SQRT(1+$B$10^2)),0)&gt;0,(1/$B$17)*(IF(($B$9+2*(($A126+6)/100)*SQRT(1+$B$10^2))&gt;0,(($B$9 * (($A126+6)/100))+($B$10 * (($A126+6)/100)^2))/($B$9+2*(($A126+6)/100)*SQRT(1+$B$10^2)),0)^(2/3))*SQRT($B$16),0) * (($B$9 * (($A126+6)/100)) + (($B$10 * (($A126+6)/100)^2) * $B$19)))</f>
        <v/>
      </c>
      <c r="I126" s="12" t="str">
        <f>IF(($A126+7)&gt;$B$11, "", IF(IF(($B$9+2*(($A126+7)/100)*SQRT(1+$B$10^2))&gt;0,(($B$9 * (($A126+7)/100))+($B$10 * (($A126+7)/100)^2))/($B$9+2*(($A126+7)/100)*SQRT(1+$B$10^2)),0)&gt;0,(1/$B$17)*(IF(($B$9+2*(($A126+7)/100)*SQRT(1+$B$10^2))&gt;0,(($B$9 * (($A126+7)/100))+($B$10 * (($A126+7)/100)^2))/($B$9+2*(($A126+7)/100)*SQRT(1+$B$10^2)),0)^(2/3))*SQRT($B$16),0) * (($B$9 * (($A126+7)/100)) + (($B$10 * (($A126+7)/100)^2) * $B$19)))</f>
        <v/>
      </c>
      <c r="J126" s="12" t="str">
        <f>IF(($A126+8)&gt;$B$11, "", IF(IF(($B$9+2*(($A126+8)/100)*SQRT(1+$B$10^2))&gt;0,(($B$9 * (($A126+8)/100))+($B$10 * (($A126+8)/100)^2))/($B$9+2*(($A126+8)/100)*SQRT(1+$B$10^2)),0)&gt;0,(1/$B$17)*(IF(($B$9+2*(($A126+8)/100)*SQRT(1+$B$10^2))&gt;0,(($B$9 * (($A126+8)/100))+($B$10 * (($A126+8)/100)^2))/($B$9+2*(($A126+8)/100)*SQRT(1+$B$10^2)),0)^(2/3))*SQRT($B$16),0) * (($B$9 * (($A126+8)/100)) + (($B$10 * (($A126+8)/100)^2) * $B$19)))</f>
        <v/>
      </c>
      <c r="K126" s="12" t="str">
        <f>IF(($A126+9)&gt;$B$11, "", IF(IF(($B$9+2*(($A126+9)/100)*SQRT(1+$B$10^2))&gt;0,(($B$9 * (($A126+9)/100))+($B$10 * (($A126+9)/100)^2))/($B$9+2*(($A126+9)/100)*SQRT(1+$B$10^2)),0)&gt;0,(1/$B$17)*(IF(($B$9+2*(($A126+9)/100)*SQRT(1+$B$10^2))&gt;0,(($B$9 * (($A126+9)/100))+($B$10 * (($A126+9)/100)^2))/($B$9+2*(($A126+9)/100)*SQRT(1+$B$10^2)),0)^(2/3))*SQRT($B$16),0) * (($B$9 * (($A126+9)/100)) + (($B$10 * (($A126+9)/100)^2) * $B$19)))</f>
        <v/>
      </c>
    </row>
    <row r="127">
      <c r="A127" s="11">
        <v>370</v>
      </c>
      <c r="B127" s="12" t="str">
        <f>IF(($A127+0)&gt;$B$11, "", IF(IF(($B$9+2*(($A127+0)/100)*SQRT(1+$B$10^2))&gt;0,(($B$9 * (($A127+0)/100))+($B$10 * (($A127+0)/100)^2))/($B$9+2*(($A127+0)/100)*SQRT(1+$B$10^2)),0)&gt;0,(1/$B$17)*(IF(($B$9+2*(($A127+0)/100)*SQRT(1+$B$10^2))&gt;0,(($B$9 * (($A127+0)/100))+($B$10 * (($A127+0)/100)^2))/($B$9+2*(($A127+0)/100)*SQRT(1+$B$10^2)),0)^(2/3))*SQRT($B$16),0) * (($B$9 * (($A127+0)/100)) + (($B$10 * (($A127+0)/100)^2) * $B$19)))</f>
        <v/>
      </c>
      <c r="C127" s="12" t="str">
        <f>IF(($A127+1)&gt;$B$11, "", IF(IF(($B$9+2*(($A127+1)/100)*SQRT(1+$B$10^2))&gt;0,(($B$9 * (($A127+1)/100))+($B$10 * (($A127+1)/100)^2))/($B$9+2*(($A127+1)/100)*SQRT(1+$B$10^2)),0)&gt;0,(1/$B$17)*(IF(($B$9+2*(($A127+1)/100)*SQRT(1+$B$10^2))&gt;0,(($B$9 * (($A127+1)/100))+($B$10 * (($A127+1)/100)^2))/($B$9+2*(($A127+1)/100)*SQRT(1+$B$10^2)),0)^(2/3))*SQRT($B$16),0) * (($B$9 * (($A127+1)/100)) + (($B$10 * (($A127+1)/100)^2) * $B$19)))</f>
        <v/>
      </c>
      <c r="D127" s="12" t="str">
        <f>IF(($A127+2)&gt;$B$11, "", IF(IF(($B$9+2*(($A127+2)/100)*SQRT(1+$B$10^2))&gt;0,(($B$9 * (($A127+2)/100))+($B$10 * (($A127+2)/100)^2))/($B$9+2*(($A127+2)/100)*SQRT(1+$B$10^2)),0)&gt;0,(1/$B$17)*(IF(($B$9+2*(($A127+2)/100)*SQRT(1+$B$10^2))&gt;0,(($B$9 * (($A127+2)/100))+($B$10 * (($A127+2)/100)^2))/($B$9+2*(($A127+2)/100)*SQRT(1+$B$10^2)),0)^(2/3))*SQRT($B$16),0) * (($B$9 * (($A127+2)/100)) + (($B$10 * (($A127+2)/100)^2) * $B$19)))</f>
        <v/>
      </c>
      <c r="E127" s="12" t="str">
        <f>IF(($A127+3)&gt;$B$11, "", IF(IF(($B$9+2*(($A127+3)/100)*SQRT(1+$B$10^2))&gt;0,(($B$9 * (($A127+3)/100))+($B$10 * (($A127+3)/100)^2))/($B$9+2*(($A127+3)/100)*SQRT(1+$B$10^2)),0)&gt;0,(1/$B$17)*(IF(($B$9+2*(($A127+3)/100)*SQRT(1+$B$10^2))&gt;0,(($B$9 * (($A127+3)/100))+($B$10 * (($A127+3)/100)^2))/($B$9+2*(($A127+3)/100)*SQRT(1+$B$10^2)),0)^(2/3))*SQRT($B$16),0) * (($B$9 * (($A127+3)/100)) + (($B$10 * (($A127+3)/100)^2) * $B$19)))</f>
        <v/>
      </c>
      <c r="F127" s="12" t="str">
        <f>IF(($A127+4)&gt;$B$11, "", IF(IF(($B$9+2*(($A127+4)/100)*SQRT(1+$B$10^2))&gt;0,(($B$9 * (($A127+4)/100))+($B$10 * (($A127+4)/100)^2))/($B$9+2*(($A127+4)/100)*SQRT(1+$B$10^2)),0)&gt;0,(1/$B$17)*(IF(($B$9+2*(($A127+4)/100)*SQRT(1+$B$10^2))&gt;0,(($B$9 * (($A127+4)/100))+($B$10 * (($A127+4)/100)^2))/($B$9+2*(($A127+4)/100)*SQRT(1+$B$10^2)),0)^(2/3))*SQRT($B$16),0) * (($B$9 * (($A127+4)/100)) + (($B$10 * (($A127+4)/100)^2) * $B$19)))</f>
        <v/>
      </c>
      <c r="G127" s="12" t="str">
        <f>IF(($A127+5)&gt;$B$11, "", IF(IF(($B$9+2*(($A127+5)/100)*SQRT(1+$B$10^2))&gt;0,(($B$9 * (($A127+5)/100))+($B$10 * (($A127+5)/100)^2))/($B$9+2*(($A127+5)/100)*SQRT(1+$B$10^2)),0)&gt;0,(1/$B$17)*(IF(($B$9+2*(($A127+5)/100)*SQRT(1+$B$10^2))&gt;0,(($B$9 * (($A127+5)/100))+($B$10 * (($A127+5)/100)^2))/($B$9+2*(($A127+5)/100)*SQRT(1+$B$10^2)),0)^(2/3))*SQRT($B$16),0) * (($B$9 * (($A127+5)/100)) + (($B$10 * (($A127+5)/100)^2) * $B$19)))</f>
        <v/>
      </c>
      <c r="H127" s="12" t="str">
        <f>IF(($A127+6)&gt;$B$11, "", IF(IF(($B$9+2*(($A127+6)/100)*SQRT(1+$B$10^2))&gt;0,(($B$9 * (($A127+6)/100))+($B$10 * (($A127+6)/100)^2))/($B$9+2*(($A127+6)/100)*SQRT(1+$B$10^2)),0)&gt;0,(1/$B$17)*(IF(($B$9+2*(($A127+6)/100)*SQRT(1+$B$10^2))&gt;0,(($B$9 * (($A127+6)/100))+($B$10 * (($A127+6)/100)^2))/($B$9+2*(($A127+6)/100)*SQRT(1+$B$10^2)),0)^(2/3))*SQRT($B$16),0) * (($B$9 * (($A127+6)/100)) + (($B$10 * (($A127+6)/100)^2) * $B$19)))</f>
        <v/>
      </c>
      <c r="I127" s="12" t="str">
        <f>IF(($A127+7)&gt;$B$11, "", IF(IF(($B$9+2*(($A127+7)/100)*SQRT(1+$B$10^2))&gt;0,(($B$9 * (($A127+7)/100))+($B$10 * (($A127+7)/100)^2))/($B$9+2*(($A127+7)/100)*SQRT(1+$B$10^2)),0)&gt;0,(1/$B$17)*(IF(($B$9+2*(($A127+7)/100)*SQRT(1+$B$10^2))&gt;0,(($B$9 * (($A127+7)/100))+($B$10 * (($A127+7)/100)^2))/($B$9+2*(($A127+7)/100)*SQRT(1+$B$10^2)),0)^(2/3))*SQRT($B$16),0) * (($B$9 * (($A127+7)/100)) + (($B$10 * (($A127+7)/100)^2) * $B$19)))</f>
        <v/>
      </c>
      <c r="J127" s="12" t="str">
        <f>IF(($A127+8)&gt;$B$11, "", IF(IF(($B$9+2*(($A127+8)/100)*SQRT(1+$B$10^2))&gt;0,(($B$9 * (($A127+8)/100))+($B$10 * (($A127+8)/100)^2))/($B$9+2*(($A127+8)/100)*SQRT(1+$B$10^2)),0)&gt;0,(1/$B$17)*(IF(($B$9+2*(($A127+8)/100)*SQRT(1+$B$10^2))&gt;0,(($B$9 * (($A127+8)/100))+($B$10 * (($A127+8)/100)^2))/($B$9+2*(($A127+8)/100)*SQRT(1+$B$10^2)),0)^(2/3))*SQRT($B$16),0) * (($B$9 * (($A127+8)/100)) + (($B$10 * (($A127+8)/100)^2) * $B$19)))</f>
        <v/>
      </c>
      <c r="K127" s="12" t="str">
        <f>IF(($A127+9)&gt;$B$11, "", IF(IF(($B$9+2*(($A127+9)/100)*SQRT(1+$B$10^2))&gt;0,(($B$9 * (($A127+9)/100))+($B$10 * (($A127+9)/100)^2))/($B$9+2*(($A127+9)/100)*SQRT(1+$B$10^2)),0)&gt;0,(1/$B$17)*(IF(($B$9+2*(($A127+9)/100)*SQRT(1+$B$10^2))&gt;0,(($B$9 * (($A127+9)/100))+($B$10 * (($A127+9)/100)^2))/($B$9+2*(($A127+9)/100)*SQRT(1+$B$10^2)),0)^(2/3))*SQRT($B$16),0) * (($B$9 * (($A127+9)/100)) + (($B$10 * (($A127+9)/100)^2) * $B$19)))</f>
        <v/>
      </c>
    </row>
    <row r="128">
      <c r="A128" s="11">
        <v>380</v>
      </c>
      <c r="B128" s="12" t="str">
        <f>IF(($A128+0)&gt;$B$11, "", IF(IF(($B$9+2*(($A128+0)/100)*SQRT(1+$B$10^2))&gt;0,(($B$9 * (($A128+0)/100))+($B$10 * (($A128+0)/100)^2))/($B$9+2*(($A128+0)/100)*SQRT(1+$B$10^2)),0)&gt;0,(1/$B$17)*(IF(($B$9+2*(($A128+0)/100)*SQRT(1+$B$10^2))&gt;0,(($B$9 * (($A128+0)/100))+($B$10 * (($A128+0)/100)^2))/($B$9+2*(($A128+0)/100)*SQRT(1+$B$10^2)),0)^(2/3))*SQRT($B$16),0) * (($B$9 * (($A128+0)/100)) + (($B$10 * (($A128+0)/100)^2) * $B$19)))</f>
        <v/>
      </c>
      <c r="C128" s="12" t="str">
        <f>IF(($A128+1)&gt;$B$11, "", IF(IF(($B$9+2*(($A128+1)/100)*SQRT(1+$B$10^2))&gt;0,(($B$9 * (($A128+1)/100))+($B$10 * (($A128+1)/100)^2))/($B$9+2*(($A128+1)/100)*SQRT(1+$B$10^2)),0)&gt;0,(1/$B$17)*(IF(($B$9+2*(($A128+1)/100)*SQRT(1+$B$10^2))&gt;0,(($B$9 * (($A128+1)/100))+($B$10 * (($A128+1)/100)^2))/($B$9+2*(($A128+1)/100)*SQRT(1+$B$10^2)),0)^(2/3))*SQRT($B$16),0) * (($B$9 * (($A128+1)/100)) + (($B$10 * (($A128+1)/100)^2) * $B$19)))</f>
        <v/>
      </c>
      <c r="D128" s="12" t="str">
        <f>IF(($A128+2)&gt;$B$11, "", IF(IF(($B$9+2*(($A128+2)/100)*SQRT(1+$B$10^2))&gt;0,(($B$9 * (($A128+2)/100))+($B$10 * (($A128+2)/100)^2))/($B$9+2*(($A128+2)/100)*SQRT(1+$B$10^2)),0)&gt;0,(1/$B$17)*(IF(($B$9+2*(($A128+2)/100)*SQRT(1+$B$10^2))&gt;0,(($B$9 * (($A128+2)/100))+($B$10 * (($A128+2)/100)^2))/($B$9+2*(($A128+2)/100)*SQRT(1+$B$10^2)),0)^(2/3))*SQRT($B$16),0) * (($B$9 * (($A128+2)/100)) + (($B$10 * (($A128+2)/100)^2) * $B$19)))</f>
        <v/>
      </c>
      <c r="E128" s="12" t="str">
        <f>IF(($A128+3)&gt;$B$11, "", IF(IF(($B$9+2*(($A128+3)/100)*SQRT(1+$B$10^2))&gt;0,(($B$9 * (($A128+3)/100))+($B$10 * (($A128+3)/100)^2))/($B$9+2*(($A128+3)/100)*SQRT(1+$B$10^2)),0)&gt;0,(1/$B$17)*(IF(($B$9+2*(($A128+3)/100)*SQRT(1+$B$10^2))&gt;0,(($B$9 * (($A128+3)/100))+($B$10 * (($A128+3)/100)^2))/($B$9+2*(($A128+3)/100)*SQRT(1+$B$10^2)),0)^(2/3))*SQRT($B$16),0) * (($B$9 * (($A128+3)/100)) + (($B$10 * (($A128+3)/100)^2) * $B$19)))</f>
        <v/>
      </c>
      <c r="F128" s="12" t="str">
        <f>IF(($A128+4)&gt;$B$11, "", IF(IF(($B$9+2*(($A128+4)/100)*SQRT(1+$B$10^2))&gt;0,(($B$9 * (($A128+4)/100))+($B$10 * (($A128+4)/100)^2))/($B$9+2*(($A128+4)/100)*SQRT(1+$B$10^2)),0)&gt;0,(1/$B$17)*(IF(($B$9+2*(($A128+4)/100)*SQRT(1+$B$10^2))&gt;0,(($B$9 * (($A128+4)/100))+($B$10 * (($A128+4)/100)^2))/($B$9+2*(($A128+4)/100)*SQRT(1+$B$10^2)),0)^(2/3))*SQRT($B$16),0) * (($B$9 * (($A128+4)/100)) + (($B$10 * (($A128+4)/100)^2) * $B$19)))</f>
        <v/>
      </c>
      <c r="G128" s="12" t="str">
        <f>IF(($A128+5)&gt;$B$11, "", IF(IF(($B$9+2*(($A128+5)/100)*SQRT(1+$B$10^2))&gt;0,(($B$9 * (($A128+5)/100))+($B$10 * (($A128+5)/100)^2))/($B$9+2*(($A128+5)/100)*SQRT(1+$B$10^2)),0)&gt;0,(1/$B$17)*(IF(($B$9+2*(($A128+5)/100)*SQRT(1+$B$10^2))&gt;0,(($B$9 * (($A128+5)/100))+($B$10 * (($A128+5)/100)^2))/($B$9+2*(($A128+5)/100)*SQRT(1+$B$10^2)),0)^(2/3))*SQRT($B$16),0) * (($B$9 * (($A128+5)/100)) + (($B$10 * (($A128+5)/100)^2) * $B$19)))</f>
        <v/>
      </c>
      <c r="H128" s="12" t="str">
        <f>IF(($A128+6)&gt;$B$11, "", IF(IF(($B$9+2*(($A128+6)/100)*SQRT(1+$B$10^2))&gt;0,(($B$9 * (($A128+6)/100))+($B$10 * (($A128+6)/100)^2))/($B$9+2*(($A128+6)/100)*SQRT(1+$B$10^2)),0)&gt;0,(1/$B$17)*(IF(($B$9+2*(($A128+6)/100)*SQRT(1+$B$10^2))&gt;0,(($B$9 * (($A128+6)/100))+($B$10 * (($A128+6)/100)^2))/($B$9+2*(($A128+6)/100)*SQRT(1+$B$10^2)),0)^(2/3))*SQRT($B$16),0) * (($B$9 * (($A128+6)/100)) + (($B$10 * (($A128+6)/100)^2) * $B$19)))</f>
        <v/>
      </c>
      <c r="I128" s="12" t="str">
        <f>IF(($A128+7)&gt;$B$11, "", IF(IF(($B$9+2*(($A128+7)/100)*SQRT(1+$B$10^2))&gt;0,(($B$9 * (($A128+7)/100))+($B$10 * (($A128+7)/100)^2))/($B$9+2*(($A128+7)/100)*SQRT(1+$B$10^2)),0)&gt;0,(1/$B$17)*(IF(($B$9+2*(($A128+7)/100)*SQRT(1+$B$10^2))&gt;0,(($B$9 * (($A128+7)/100))+($B$10 * (($A128+7)/100)^2))/($B$9+2*(($A128+7)/100)*SQRT(1+$B$10^2)),0)^(2/3))*SQRT($B$16),0) * (($B$9 * (($A128+7)/100)) + (($B$10 * (($A128+7)/100)^2) * $B$19)))</f>
        <v/>
      </c>
      <c r="J128" s="12" t="str">
        <f>IF(($A128+8)&gt;$B$11, "", IF(IF(($B$9+2*(($A128+8)/100)*SQRT(1+$B$10^2))&gt;0,(($B$9 * (($A128+8)/100))+($B$10 * (($A128+8)/100)^2))/($B$9+2*(($A128+8)/100)*SQRT(1+$B$10^2)),0)&gt;0,(1/$B$17)*(IF(($B$9+2*(($A128+8)/100)*SQRT(1+$B$10^2))&gt;0,(($B$9 * (($A128+8)/100))+($B$10 * (($A128+8)/100)^2))/($B$9+2*(($A128+8)/100)*SQRT(1+$B$10^2)),0)^(2/3))*SQRT($B$16),0) * (($B$9 * (($A128+8)/100)) + (($B$10 * (($A128+8)/100)^2) * $B$19)))</f>
        <v/>
      </c>
      <c r="K128" s="12" t="str">
        <f>IF(($A128+9)&gt;$B$11, "", IF(IF(($B$9+2*(($A128+9)/100)*SQRT(1+$B$10^2))&gt;0,(($B$9 * (($A128+9)/100))+($B$10 * (($A128+9)/100)^2))/($B$9+2*(($A128+9)/100)*SQRT(1+$B$10^2)),0)&gt;0,(1/$B$17)*(IF(($B$9+2*(($A128+9)/100)*SQRT(1+$B$10^2))&gt;0,(($B$9 * (($A128+9)/100))+($B$10 * (($A128+9)/100)^2))/($B$9+2*(($A128+9)/100)*SQRT(1+$B$10^2)),0)^(2/3))*SQRT($B$16),0) * (($B$9 * (($A128+9)/100)) + (($B$10 * (($A128+9)/100)^2) * $B$19)))</f>
        <v/>
      </c>
    </row>
    <row r="129">
      <c r="A129" s="11">
        <v>390</v>
      </c>
      <c r="B129" s="12" t="str">
        <f>IF(($A129+0)&gt;$B$11, "", IF(IF(($B$9+2*(($A129+0)/100)*SQRT(1+$B$10^2))&gt;0,(($B$9 * (($A129+0)/100))+($B$10 * (($A129+0)/100)^2))/($B$9+2*(($A129+0)/100)*SQRT(1+$B$10^2)),0)&gt;0,(1/$B$17)*(IF(($B$9+2*(($A129+0)/100)*SQRT(1+$B$10^2))&gt;0,(($B$9 * (($A129+0)/100))+($B$10 * (($A129+0)/100)^2))/($B$9+2*(($A129+0)/100)*SQRT(1+$B$10^2)),0)^(2/3))*SQRT($B$16),0) * (($B$9 * (($A129+0)/100)) + (($B$10 * (($A129+0)/100)^2) * $B$19)))</f>
        <v/>
      </c>
      <c r="C129" s="12" t="str">
        <f>IF(($A129+1)&gt;$B$11, "", IF(IF(($B$9+2*(($A129+1)/100)*SQRT(1+$B$10^2))&gt;0,(($B$9 * (($A129+1)/100))+($B$10 * (($A129+1)/100)^2))/($B$9+2*(($A129+1)/100)*SQRT(1+$B$10^2)),0)&gt;0,(1/$B$17)*(IF(($B$9+2*(($A129+1)/100)*SQRT(1+$B$10^2))&gt;0,(($B$9 * (($A129+1)/100))+($B$10 * (($A129+1)/100)^2))/($B$9+2*(($A129+1)/100)*SQRT(1+$B$10^2)),0)^(2/3))*SQRT($B$16),0) * (($B$9 * (($A129+1)/100)) + (($B$10 * (($A129+1)/100)^2) * $B$19)))</f>
        <v/>
      </c>
      <c r="D129" s="12" t="str">
        <f>IF(($A129+2)&gt;$B$11, "", IF(IF(($B$9+2*(($A129+2)/100)*SQRT(1+$B$10^2))&gt;0,(($B$9 * (($A129+2)/100))+($B$10 * (($A129+2)/100)^2))/($B$9+2*(($A129+2)/100)*SQRT(1+$B$10^2)),0)&gt;0,(1/$B$17)*(IF(($B$9+2*(($A129+2)/100)*SQRT(1+$B$10^2))&gt;0,(($B$9 * (($A129+2)/100))+($B$10 * (($A129+2)/100)^2))/($B$9+2*(($A129+2)/100)*SQRT(1+$B$10^2)),0)^(2/3))*SQRT($B$16),0) * (($B$9 * (($A129+2)/100)) + (($B$10 * (($A129+2)/100)^2) * $B$19)))</f>
        <v/>
      </c>
      <c r="E129" s="12" t="str">
        <f>IF(($A129+3)&gt;$B$11, "", IF(IF(($B$9+2*(($A129+3)/100)*SQRT(1+$B$10^2))&gt;0,(($B$9 * (($A129+3)/100))+($B$10 * (($A129+3)/100)^2))/($B$9+2*(($A129+3)/100)*SQRT(1+$B$10^2)),0)&gt;0,(1/$B$17)*(IF(($B$9+2*(($A129+3)/100)*SQRT(1+$B$10^2))&gt;0,(($B$9 * (($A129+3)/100))+($B$10 * (($A129+3)/100)^2))/($B$9+2*(($A129+3)/100)*SQRT(1+$B$10^2)),0)^(2/3))*SQRT($B$16),0) * (($B$9 * (($A129+3)/100)) + (($B$10 * (($A129+3)/100)^2) * $B$19)))</f>
        <v/>
      </c>
      <c r="F129" s="12" t="str">
        <f>IF(($A129+4)&gt;$B$11, "", IF(IF(($B$9+2*(($A129+4)/100)*SQRT(1+$B$10^2))&gt;0,(($B$9 * (($A129+4)/100))+($B$10 * (($A129+4)/100)^2))/($B$9+2*(($A129+4)/100)*SQRT(1+$B$10^2)),0)&gt;0,(1/$B$17)*(IF(($B$9+2*(($A129+4)/100)*SQRT(1+$B$10^2))&gt;0,(($B$9 * (($A129+4)/100))+($B$10 * (($A129+4)/100)^2))/($B$9+2*(($A129+4)/100)*SQRT(1+$B$10^2)),0)^(2/3))*SQRT($B$16),0) * (($B$9 * (($A129+4)/100)) + (($B$10 * (($A129+4)/100)^2) * $B$19)))</f>
        <v/>
      </c>
      <c r="G129" s="12" t="str">
        <f>IF(($A129+5)&gt;$B$11, "", IF(IF(($B$9+2*(($A129+5)/100)*SQRT(1+$B$10^2))&gt;0,(($B$9 * (($A129+5)/100))+($B$10 * (($A129+5)/100)^2))/($B$9+2*(($A129+5)/100)*SQRT(1+$B$10^2)),0)&gt;0,(1/$B$17)*(IF(($B$9+2*(($A129+5)/100)*SQRT(1+$B$10^2))&gt;0,(($B$9 * (($A129+5)/100))+($B$10 * (($A129+5)/100)^2))/($B$9+2*(($A129+5)/100)*SQRT(1+$B$10^2)),0)^(2/3))*SQRT($B$16),0) * (($B$9 * (($A129+5)/100)) + (($B$10 * (($A129+5)/100)^2) * $B$19)))</f>
        <v/>
      </c>
      <c r="H129" s="12" t="str">
        <f>IF(($A129+6)&gt;$B$11, "", IF(IF(($B$9+2*(($A129+6)/100)*SQRT(1+$B$10^2))&gt;0,(($B$9 * (($A129+6)/100))+($B$10 * (($A129+6)/100)^2))/($B$9+2*(($A129+6)/100)*SQRT(1+$B$10^2)),0)&gt;0,(1/$B$17)*(IF(($B$9+2*(($A129+6)/100)*SQRT(1+$B$10^2))&gt;0,(($B$9 * (($A129+6)/100))+($B$10 * (($A129+6)/100)^2))/($B$9+2*(($A129+6)/100)*SQRT(1+$B$10^2)),0)^(2/3))*SQRT($B$16),0) * (($B$9 * (($A129+6)/100)) + (($B$10 * (($A129+6)/100)^2) * $B$19)))</f>
        <v/>
      </c>
      <c r="I129" s="12" t="str">
        <f>IF(($A129+7)&gt;$B$11, "", IF(IF(($B$9+2*(($A129+7)/100)*SQRT(1+$B$10^2))&gt;0,(($B$9 * (($A129+7)/100))+($B$10 * (($A129+7)/100)^2))/($B$9+2*(($A129+7)/100)*SQRT(1+$B$10^2)),0)&gt;0,(1/$B$17)*(IF(($B$9+2*(($A129+7)/100)*SQRT(1+$B$10^2))&gt;0,(($B$9 * (($A129+7)/100))+($B$10 * (($A129+7)/100)^2))/($B$9+2*(($A129+7)/100)*SQRT(1+$B$10^2)),0)^(2/3))*SQRT($B$16),0) * (($B$9 * (($A129+7)/100)) + (($B$10 * (($A129+7)/100)^2) * $B$19)))</f>
        <v/>
      </c>
      <c r="J129" s="12" t="str">
        <f>IF(($A129+8)&gt;$B$11, "", IF(IF(($B$9+2*(($A129+8)/100)*SQRT(1+$B$10^2))&gt;0,(($B$9 * (($A129+8)/100))+($B$10 * (($A129+8)/100)^2))/($B$9+2*(($A129+8)/100)*SQRT(1+$B$10^2)),0)&gt;0,(1/$B$17)*(IF(($B$9+2*(($A129+8)/100)*SQRT(1+$B$10^2))&gt;0,(($B$9 * (($A129+8)/100))+($B$10 * (($A129+8)/100)^2))/($B$9+2*(($A129+8)/100)*SQRT(1+$B$10^2)),0)^(2/3))*SQRT($B$16),0) * (($B$9 * (($A129+8)/100)) + (($B$10 * (($A129+8)/100)^2) * $B$19)))</f>
        <v/>
      </c>
      <c r="K129" s="12" t="str">
        <f>IF(($A129+9)&gt;$B$11, "", IF(IF(($B$9+2*(($A129+9)/100)*SQRT(1+$B$10^2))&gt;0,(($B$9 * (($A129+9)/100))+($B$10 * (($A129+9)/100)^2))/($B$9+2*(($A129+9)/100)*SQRT(1+$B$10^2)),0)&gt;0,(1/$B$17)*(IF(($B$9+2*(($A129+9)/100)*SQRT(1+$B$10^2))&gt;0,(($B$9 * (($A129+9)/100))+($B$10 * (($A129+9)/100)^2))/($B$9+2*(($A129+9)/100)*SQRT(1+$B$10^2)),0)^(2/3))*SQRT($B$16),0) * (($B$9 * (($A129+9)/100)) + (($B$10 * (($A129+9)/100)^2) * $B$19)))</f>
        <v/>
      </c>
    </row>
    <row r="130">
      <c r="A130" s="11">
        <v>400</v>
      </c>
      <c r="B130" s="12" t="str">
        <f>IF(($A130+0)&gt;$B$11, "", IF(IF(($B$9+2*(($A130+0)/100)*SQRT(1+$B$10^2))&gt;0,(($B$9 * (($A130+0)/100))+($B$10 * (($A130+0)/100)^2))/($B$9+2*(($A130+0)/100)*SQRT(1+$B$10^2)),0)&gt;0,(1/$B$17)*(IF(($B$9+2*(($A130+0)/100)*SQRT(1+$B$10^2))&gt;0,(($B$9 * (($A130+0)/100))+($B$10 * (($A130+0)/100)^2))/($B$9+2*(($A130+0)/100)*SQRT(1+$B$10^2)),0)^(2/3))*SQRT($B$16),0) * (($B$9 * (($A130+0)/100)) + (($B$10 * (($A130+0)/100)^2) * $B$19)))</f>
        <v/>
      </c>
      <c r="C130" s="12" t="str">
        <f>IF(($A130+1)&gt;$B$11, "", IF(IF(($B$9+2*(($A130+1)/100)*SQRT(1+$B$10^2))&gt;0,(($B$9 * (($A130+1)/100))+($B$10 * (($A130+1)/100)^2))/($B$9+2*(($A130+1)/100)*SQRT(1+$B$10^2)),0)&gt;0,(1/$B$17)*(IF(($B$9+2*(($A130+1)/100)*SQRT(1+$B$10^2))&gt;0,(($B$9 * (($A130+1)/100))+($B$10 * (($A130+1)/100)^2))/($B$9+2*(($A130+1)/100)*SQRT(1+$B$10^2)),0)^(2/3))*SQRT($B$16),0) * (($B$9 * (($A130+1)/100)) + (($B$10 * (($A130+1)/100)^2) * $B$19)))</f>
        <v/>
      </c>
      <c r="D130" s="12" t="str">
        <f>IF(($A130+2)&gt;$B$11, "", IF(IF(($B$9+2*(($A130+2)/100)*SQRT(1+$B$10^2))&gt;0,(($B$9 * (($A130+2)/100))+($B$10 * (($A130+2)/100)^2))/($B$9+2*(($A130+2)/100)*SQRT(1+$B$10^2)),0)&gt;0,(1/$B$17)*(IF(($B$9+2*(($A130+2)/100)*SQRT(1+$B$10^2))&gt;0,(($B$9 * (($A130+2)/100))+($B$10 * (($A130+2)/100)^2))/($B$9+2*(($A130+2)/100)*SQRT(1+$B$10^2)),0)^(2/3))*SQRT($B$16),0) * (($B$9 * (($A130+2)/100)) + (($B$10 * (($A130+2)/100)^2) * $B$19)))</f>
        <v/>
      </c>
      <c r="E130" s="12" t="str">
        <f>IF(($A130+3)&gt;$B$11, "", IF(IF(($B$9+2*(($A130+3)/100)*SQRT(1+$B$10^2))&gt;0,(($B$9 * (($A130+3)/100))+($B$10 * (($A130+3)/100)^2))/($B$9+2*(($A130+3)/100)*SQRT(1+$B$10^2)),0)&gt;0,(1/$B$17)*(IF(($B$9+2*(($A130+3)/100)*SQRT(1+$B$10^2))&gt;0,(($B$9 * (($A130+3)/100))+($B$10 * (($A130+3)/100)^2))/($B$9+2*(($A130+3)/100)*SQRT(1+$B$10^2)),0)^(2/3))*SQRT($B$16),0) * (($B$9 * (($A130+3)/100)) + (($B$10 * (($A130+3)/100)^2) * $B$19)))</f>
        <v/>
      </c>
      <c r="F130" s="12" t="str">
        <f>IF(($A130+4)&gt;$B$11, "", IF(IF(($B$9+2*(($A130+4)/100)*SQRT(1+$B$10^2))&gt;0,(($B$9 * (($A130+4)/100))+($B$10 * (($A130+4)/100)^2))/($B$9+2*(($A130+4)/100)*SQRT(1+$B$10^2)),0)&gt;0,(1/$B$17)*(IF(($B$9+2*(($A130+4)/100)*SQRT(1+$B$10^2))&gt;0,(($B$9 * (($A130+4)/100))+($B$10 * (($A130+4)/100)^2))/($B$9+2*(($A130+4)/100)*SQRT(1+$B$10^2)),0)^(2/3))*SQRT($B$16),0) * (($B$9 * (($A130+4)/100)) + (($B$10 * (($A130+4)/100)^2) * $B$19)))</f>
        <v/>
      </c>
      <c r="G130" s="12" t="str">
        <f>IF(($A130+5)&gt;$B$11, "", IF(IF(($B$9+2*(($A130+5)/100)*SQRT(1+$B$10^2))&gt;0,(($B$9 * (($A130+5)/100))+($B$10 * (($A130+5)/100)^2))/($B$9+2*(($A130+5)/100)*SQRT(1+$B$10^2)),0)&gt;0,(1/$B$17)*(IF(($B$9+2*(($A130+5)/100)*SQRT(1+$B$10^2))&gt;0,(($B$9 * (($A130+5)/100))+($B$10 * (($A130+5)/100)^2))/($B$9+2*(($A130+5)/100)*SQRT(1+$B$10^2)),0)^(2/3))*SQRT($B$16),0) * (($B$9 * (($A130+5)/100)) + (($B$10 * (($A130+5)/100)^2) * $B$19)))</f>
        <v/>
      </c>
      <c r="H130" s="12" t="str">
        <f>IF(($A130+6)&gt;$B$11, "", IF(IF(($B$9+2*(($A130+6)/100)*SQRT(1+$B$10^2))&gt;0,(($B$9 * (($A130+6)/100))+($B$10 * (($A130+6)/100)^2))/($B$9+2*(($A130+6)/100)*SQRT(1+$B$10^2)),0)&gt;0,(1/$B$17)*(IF(($B$9+2*(($A130+6)/100)*SQRT(1+$B$10^2))&gt;0,(($B$9 * (($A130+6)/100))+($B$10 * (($A130+6)/100)^2))/($B$9+2*(($A130+6)/100)*SQRT(1+$B$10^2)),0)^(2/3))*SQRT($B$16),0) * (($B$9 * (($A130+6)/100)) + (($B$10 * (($A130+6)/100)^2) * $B$19)))</f>
        <v/>
      </c>
      <c r="I130" s="12" t="str">
        <f>IF(($A130+7)&gt;$B$11, "", IF(IF(($B$9+2*(($A130+7)/100)*SQRT(1+$B$10^2))&gt;0,(($B$9 * (($A130+7)/100))+($B$10 * (($A130+7)/100)^2))/($B$9+2*(($A130+7)/100)*SQRT(1+$B$10^2)),0)&gt;0,(1/$B$17)*(IF(($B$9+2*(($A130+7)/100)*SQRT(1+$B$10^2))&gt;0,(($B$9 * (($A130+7)/100))+($B$10 * (($A130+7)/100)^2))/($B$9+2*(($A130+7)/100)*SQRT(1+$B$10^2)),0)^(2/3))*SQRT($B$16),0) * (($B$9 * (($A130+7)/100)) + (($B$10 * (($A130+7)/100)^2) * $B$19)))</f>
        <v/>
      </c>
      <c r="J130" s="12" t="str">
        <f>IF(($A130+8)&gt;$B$11, "", IF(IF(($B$9+2*(($A130+8)/100)*SQRT(1+$B$10^2))&gt;0,(($B$9 * (($A130+8)/100))+($B$10 * (($A130+8)/100)^2))/($B$9+2*(($A130+8)/100)*SQRT(1+$B$10^2)),0)&gt;0,(1/$B$17)*(IF(($B$9+2*(($A130+8)/100)*SQRT(1+$B$10^2))&gt;0,(($B$9 * (($A130+8)/100))+($B$10 * (($A130+8)/100)^2))/($B$9+2*(($A130+8)/100)*SQRT(1+$B$10^2)),0)^(2/3))*SQRT($B$16),0) * (($B$9 * (($A130+8)/100)) + (($B$10 * (($A130+8)/100)^2) * $B$19)))</f>
        <v/>
      </c>
      <c r="K130" s="12" t="str">
        <f>IF(($A130+9)&gt;$B$11, "", IF(IF(($B$9+2*(($A130+9)/100)*SQRT(1+$B$10^2))&gt;0,(($B$9 * (($A130+9)/100))+($B$10 * (($A130+9)/100)^2))/($B$9+2*(($A130+9)/100)*SQRT(1+$B$10^2)),0)&gt;0,(1/$B$17)*(IF(($B$9+2*(($A130+9)/100)*SQRT(1+$B$10^2))&gt;0,(($B$9 * (($A130+9)/100))+($B$10 * (($A130+9)/100)^2))/($B$9+2*(($A130+9)/100)*SQRT(1+$B$10^2)),0)^(2/3))*SQRT($B$16),0) * (($B$9 * (($A130+9)/100)) + (($B$10 * (($A130+9)/100)^2) * $B$19)))</f>
        <v/>
      </c>
    </row>
    <row r="131">
      <c r="A131" s="11">
        <v>410</v>
      </c>
      <c r="B131" s="12" t="str">
        <f>IF(($A131+0)&gt;$B$11, "", IF(IF(($B$9+2*(($A131+0)/100)*SQRT(1+$B$10^2))&gt;0,(($B$9 * (($A131+0)/100))+($B$10 * (($A131+0)/100)^2))/($B$9+2*(($A131+0)/100)*SQRT(1+$B$10^2)),0)&gt;0,(1/$B$17)*(IF(($B$9+2*(($A131+0)/100)*SQRT(1+$B$10^2))&gt;0,(($B$9 * (($A131+0)/100))+($B$10 * (($A131+0)/100)^2))/($B$9+2*(($A131+0)/100)*SQRT(1+$B$10^2)),0)^(2/3))*SQRT($B$16),0) * (($B$9 * (($A131+0)/100)) + (($B$10 * (($A131+0)/100)^2) * $B$19)))</f>
        <v/>
      </c>
      <c r="C131" s="12" t="str">
        <f>IF(($A131+1)&gt;$B$11, "", IF(IF(($B$9+2*(($A131+1)/100)*SQRT(1+$B$10^2))&gt;0,(($B$9 * (($A131+1)/100))+($B$10 * (($A131+1)/100)^2))/($B$9+2*(($A131+1)/100)*SQRT(1+$B$10^2)),0)&gt;0,(1/$B$17)*(IF(($B$9+2*(($A131+1)/100)*SQRT(1+$B$10^2))&gt;0,(($B$9 * (($A131+1)/100))+($B$10 * (($A131+1)/100)^2))/($B$9+2*(($A131+1)/100)*SQRT(1+$B$10^2)),0)^(2/3))*SQRT($B$16),0) * (($B$9 * (($A131+1)/100)) + (($B$10 * (($A131+1)/100)^2) * $B$19)))</f>
        <v/>
      </c>
      <c r="D131" s="12" t="str">
        <f>IF(($A131+2)&gt;$B$11, "", IF(IF(($B$9+2*(($A131+2)/100)*SQRT(1+$B$10^2))&gt;0,(($B$9 * (($A131+2)/100))+($B$10 * (($A131+2)/100)^2))/($B$9+2*(($A131+2)/100)*SQRT(1+$B$10^2)),0)&gt;0,(1/$B$17)*(IF(($B$9+2*(($A131+2)/100)*SQRT(1+$B$10^2))&gt;0,(($B$9 * (($A131+2)/100))+($B$10 * (($A131+2)/100)^2))/($B$9+2*(($A131+2)/100)*SQRT(1+$B$10^2)),0)^(2/3))*SQRT($B$16),0) * (($B$9 * (($A131+2)/100)) + (($B$10 * (($A131+2)/100)^2) * $B$19)))</f>
        <v/>
      </c>
      <c r="E131" s="12" t="str">
        <f>IF(($A131+3)&gt;$B$11, "", IF(IF(($B$9+2*(($A131+3)/100)*SQRT(1+$B$10^2))&gt;0,(($B$9 * (($A131+3)/100))+($B$10 * (($A131+3)/100)^2))/($B$9+2*(($A131+3)/100)*SQRT(1+$B$10^2)),0)&gt;0,(1/$B$17)*(IF(($B$9+2*(($A131+3)/100)*SQRT(1+$B$10^2))&gt;0,(($B$9 * (($A131+3)/100))+($B$10 * (($A131+3)/100)^2))/($B$9+2*(($A131+3)/100)*SQRT(1+$B$10^2)),0)^(2/3))*SQRT($B$16),0) * (($B$9 * (($A131+3)/100)) + (($B$10 * (($A131+3)/100)^2) * $B$19)))</f>
        <v/>
      </c>
      <c r="F131" s="12" t="str">
        <f>IF(($A131+4)&gt;$B$11, "", IF(IF(($B$9+2*(($A131+4)/100)*SQRT(1+$B$10^2))&gt;0,(($B$9 * (($A131+4)/100))+($B$10 * (($A131+4)/100)^2))/($B$9+2*(($A131+4)/100)*SQRT(1+$B$10^2)),0)&gt;0,(1/$B$17)*(IF(($B$9+2*(($A131+4)/100)*SQRT(1+$B$10^2))&gt;0,(($B$9 * (($A131+4)/100))+($B$10 * (($A131+4)/100)^2))/($B$9+2*(($A131+4)/100)*SQRT(1+$B$10^2)),0)^(2/3))*SQRT($B$16),0) * (($B$9 * (($A131+4)/100)) + (($B$10 * (($A131+4)/100)^2) * $B$19)))</f>
        <v/>
      </c>
      <c r="G131" s="12" t="str">
        <f>IF(($A131+5)&gt;$B$11, "", IF(IF(($B$9+2*(($A131+5)/100)*SQRT(1+$B$10^2))&gt;0,(($B$9 * (($A131+5)/100))+($B$10 * (($A131+5)/100)^2))/($B$9+2*(($A131+5)/100)*SQRT(1+$B$10^2)),0)&gt;0,(1/$B$17)*(IF(($B$9+2*(($A131+5)/100)*SQRT(1+$B$10^2))&gt;0,(($B$9 * (($A131+5)/100))+($B$10 * (($A131+5)/100)^2))/($B$9+2*(($A131+5)/100)*SQRT(1+$B$10^2)),0)^(2/3))*SQRT($B$16),0) * (($B$9 * (($A131+5)/100)) + (($B$10 * (($A131+5)/100)^2) * $B$19)))</f>
        <v/>
      </c>
      <c r="H131" s="12" t="str">
        <f>IF(($A131+6)&gt;$B$11, "", IF(IF(($B$9+2*(($A131+6)/100)*SQRT(1+$B$10^2))&gt;0,(($B$9 * (($A131+6)/100))+($B$10 * (($A131+6)/100)^2))/($B$9+2*(($A131+6)/100)*SQRT(1+$B$10^2)),0)&gt;0,(1/$B$17)*(IF(($B$9+2*(($A131+6)/100)*SQRT(1+$B$10^2))&gt;0,(($B$9 * (($A131+6)/100))+($B$10 * (($A131+6)/100)^2))/($B$9+2*(($A131+6)/100)*SQRT(1+$B$10^2)),0)^(2/3))*SQRT($B$16),0) * (($B$9 * (($A131+6)/100)) + (($B$10 * (($A131+6)/100)^2) * $B$19)))</f>
        <v/>
      </c>
      <c r="I131" s="12" t="str">
        <f>IF(($A131+7)&gt;$B$11, "", IF(IF(($B$9+2*(($A131+7)/100)*SQRT(1+$B$10^2))&gt;0,(($B$9 * (($A131+7)/100))+($B$10 * (($A131+7)/100)^2))/($B$9+2*(($A131+7)/100)*SQRT(1+$B$10^2)),0)&gt;0,(1/$B$17)*(IF(($B$9+2*(($A131+7)/100)*SQRT(1+$B$10^2))&gt;0,(($B$9 * (($A131+7)/100))+($B$10 * (($A131+7)/100)^2))/($B$9+2*(($A131+7)/100)*SQRT(1+$B$10^2)),0)^(2/3))*SQRT($B$16),0) * (($B$9 * (($A131+7)/100)) + (($B$10 * (($A131+7)/100)^2) * $B$19)))</f>
        <v/>
      </c>
      <c r="J131" s="12" t="str">
        <f>IF(($A131+8)&gt;$B$11, "", IF(IF(($B$9+2*(($A131+8)/100)*SQRT(1+$B$10^2))&gt;0,(($B$9 * (($A131+8)/100))+($B$10 * (($A131+8)/100)^2))/($B$9+2*(($A131+8)/100)*SQRT(1+$B$10^2)),0)&gt;0,(1/$B$17)*(IF(($B$9+2*(($A131+8)/100)*SQRT(1+$B$10^2))&gt;0,(($B$9 * (($A131+8)/100))+($B$10 * (($A131+8)/100)^2))/($B$9+2*(($A131+8)/100)*SQRT(1+$B$10^2)),0)^(2/3))*SQRT($B$16),0) * (($B$9 * (($A131+8)/100)) + (($B$10 * (($A131+8)/100)^2) * $B$19)))</f>
        <v/>
      </c>
      <c r="K131" s="12" t="str">
        <f>IF(($A131+9)&gt;$B$11, "", IF(IF(($B$9+2*(($A131+9)/100)*SQRT(1+$B$10^2))&gt;0,(($B$9 * (($A131+9)/100))+($B$10 * (($A131+9)/100)^2))/($B$9+2*(($A131+9)/100)*SQRT(1+$B$10^2)),0)&gt;0,(1/$B$17)*(IF(($B$9+2*(($A131+9)/100)*SQRT(1+$B$10^2))&gt;0,(($B$9 * (($A131+9)/100))+($B$10 * (($A131+9)/100)^2))/($B$9+2*(($A131+9)/100)*SQRT(1+$B$10^2)),0)^(2/3))*SQRT($B$16),0) * (($B$9 * (($A131+9)/100)) + (($B$10 * (($A131+9)/100)^2) * $B$19)))</f>
        <v/>
      </c>
    </row>
    <row r="132">
      <c r="A132" s="11">
        <v>420</v>
      </c>
      <c r="B132" s="12" t="str">
        <f>IF(($A132+0)&gt;$B$11, "", IF(IF(($B$9+2*(($A132+0)/100)*SQRT(1+$B$10^2))&gt;0,(($B$9 * (($A132+0)/100))+($B$10 * (($A132+0)/100)^2))/($B$9+2*(($A132+0)/100)*SQRT(1+$B$10^2)),0)&gt;0,(1/$B$17)*(IF(($B$9+2*(($A132+0)/100)*SQRT(1+$B$10^2))&gt;0,(($B$9 * (($A132+0)/100))+($B$10 * (($A132+0)/100)^2))/($B$9+2*(($A132+0)/100)*SQRT(1+$B$10^2)),0)^(2/3))*SQRT($B$16),0) * (($B$9 * (($A132+0)/100)) + (($B$10 * (($A132+0)/100)^2) * $B$19)))</f>
        <v/>
      </c>
      <c r="C132" s="12" t="str">
        <f>IF(($A132+1)&gt;$B$11, "", IF(IF(($B$9+2*(($A132+1)/100)*SQRT(1+$B$10^2))&gt;0,(($B$9 * (($A132+1)/100))+($B$10 * (($A132+1)/100)^2))/($B$9+2*(($A132+1)/100)*SQRT(1+$B$10^2)),0)&gt;0,(1/$B$17)*(IF(($B$9+2*(($A132+1)/100)*SQRT(1+$B$10^2))&gt;0,(($B$9 * (($A132+1)/100))+($B$10 * (($A132+1)/100)^2))/($B$9+2*(($A132+1)/100)*SQRT(1+$B$10^2)),0)^(2/3))*SQRT($B$16),0) * (($B$9 * (($A132+1)/100)) + (($B$10 * (($A132+1)/100)^2) * $B$19)))</f>
        <v/>
      </c>
      <c r="D132" s="12" t="str">
        <f>IF(($A132+2)&gt;$B$11, "", IF(IF(($B$9+2*(($A132+2)/100)*SQRT(1+$B$10^2))&gt;0,(($B$9 * (($A132+2)/100))+($B$10 * (($A132+2)/100)^2))/($B$9+2*(($A132+2)/100)*SQRT(1+$B$10^2)),0)&gt;0,(1/$B$17)*(IF(($B$9+2*(($A132+2)/100)*SQRT(1+$B$10^2))&gt;0,(($B$9 * (($A132+2)/100))+($B$10 * (($A132+2)/100)^2))/($B$9+2*(($A132+2)/100)*SQRT(1+$B$10^2)),0)^(2/3))*SQRT($B$16),0) * (($B$9 * (($A132+2)/100)) + (($B$10 * (($A132+2)/100)^2) * $B$19)))</f>
        <v/>
      </c>
      <c r="E132" s="12" t="str">
        <f>IF(($A132+3)&gt;$B$11, "", IF(IF(($B$9+2*(($A132+3)/100)*SQRT(1+$B$10^2))&gt;0,(($B$9 * (($A132+3)/100))+($B$10 * (($A132+3)/100)^2))/($B$9+2*(($A132+3)/100)*SQRT(1+$B$10^2)),0)&gt;0,(1/$B$17)*(IF(($B$9+2*(($A132+3)/100)*SQRT(1+$B$10^2))&gt;0,(($B$9 * (($A132+3)/100))+($B$10 * (($A132+3)/100)^2))/($B$9+2*(($A132+3)/100)*SQRT(1+$B$10^2)),0)^(2/3))*SQRT($B$16),0) * (($B$9 * (($A132+3)/100)) + (($B$10 * (($A132+3)/100)^2) * $B$19)))</f>
        <v/>
      </c>
      <c r="F132" s="12" t="str">
        <f>IF(($A132+4)&gt;$B$11, "", IF(IF(($B$9+2*(($A132+4)/100)*SQRT(1+$B$10^2))&gt;0,(($B$9 * (($A132+4)/100))+($B$10 * (($A132+4)/100)^2))/($B$9+2*(($A132+4)/100)*SQRT(1+$B$10^2)),0)&gt;0,(1/$B$17)*(IF(($B$9+2*(($A132+4)/100)*SQRT(1+$B$10^2))&gt;0,(($B$9 * (($A132+4)/100))+($B$10 * (($A132+4)/100)^2))/($B$9+2*(($A132+4)/100)*SQRT(1+$B$10^2)),0)^(2/3))*SQRT($B$16),0) * (($B$9 * (($A132+4)/100)) + (($B$10 * (($A132+4)/100)^2) * $B$19)))</f>
        <v/>
      </c>
      <c r="G132" s="12" t="str">
        <f>IF(($A132+5)&gt;$B$11, "", IF(IF(($B$9+2*(($A132+5)/100)*SQRT(1+$B$10^2))&gt;0,(($B$9 * (($A132+5)/100))+($B$10 * (($A132+5)/100)^2))/($B$9+2*(($A132+5)/100)*SQRT(1+$B$10^2)),0)&gt;0,(1/$B$17)*(IF(($B$9+2*(($A132+5)/100)*SQRT(1+$B$10^2))&gt;0,(($B$9 * (($A132+5)/100))+($B$10 * (($A132+5)/100)^2))/($B$9+2*(($A132+5)/100)*SQRT(1+$B$10^2)),0)^(2/3))*SQRT($B$16),0) * (($B$9 * (($A132+5)/100)) + (($B$10 * (($A132+5)/100)^2) * $B$19)))</f>
        <v/>
      </c>
      <c r="H132" s="12" t="str">
        <f>IF(($A132+6)&gt;$B$11, "", IF(IF(($B$9+2*(($A132+6)/100)*SQRT(1+$B$10^2))&gt;0,(($B$9 * (($A132+6)/100))+($B$10 * (($A132+6)/100)^2))/($B$9+2*(($A132+6)/100)*SQRT(1+$B$10^2)),0)&gt;0,(1/$B$17)*(IF(($B$9+2*(($A132+6)/100)*SQRT(1+$B$10^2))&gt;0,(($B$9 * (($A132+6)/100))+($B$10 * (($A132+6)/100)^2))/($B$9+2*(($A132+6)/100)*SQRT(1+$B$10^2)),0)^(2/3))*SQRT($B$16),0) * (($B$9 * (($A132+6)/100)) + (($B$10 * (($A132+6)/100)^2) * $B$19)))</f>
        <v/>
      </c>
      <c r="I132" s="12" t="str">
        <f>IF(($A132+7)&gt;$B$11, "", IF(IF(($B$9+2*(($A132+7)/100)*SQRT(1+$B$10^2))&gt;0,(($B$9 * (($A132+7)/100))+($B$10 * (($A132+7)/100)^2))/($B$9+2*(($A132+7)/100)*SQRT(1+$B$10^2)),0)&gt;0,(1/$B$17)*(IF(($B$9+2*(($A132+7)/100)*SQRT(1+$B$10^2))&gt;0,(($B$9 * (($A132+7)/100))+($B$10 * (($A132+7)/100)^2))/($B$9+2*(($A132+7)/100)*SQRT(1+$B$10^2)),0)^(2/3))*SQRT($B$16),0) * (($B$9 * (($A132+7)/100)) + (($B$10 * (($A132+7)/100)^2) * $B$19)))</f>
        <v/>
      </c>
      <c r="J132" s="12" t="str">
        <f>IF(($A132+8)&gt;$B$11, "", IF(IF(($B$9+2*(($A132+8)/100)*SQRT(1+$B$10^2))&gt;0,(($B$9 * (($A132+8)/100))+($B$10 * (($A132+8)/100)^2))/($B$9+2*(($A132+8)/100)*SQRT(1+$B$10^2)),0)&gt;0,(1/$B$17)*(IF(($B$9+2*(($A132+8)/100)*SQRT(1+$B$10^2))&gt;0,(($B$9 * (($A132+8)/100))+($B$10 * (($A132+8)/100)^2))/($B$9+2*(($A132+8)/100)*SQRT(1+$B$10^2)),0)^(2/3))*SQRT($B$16),0) * (($B$9 * (($A132+8)/100)) + (($B$10 * (($A132+8)/100)^2) * $B$19)))</f>
        <v/>
      </c>
      <c r="K132" s="12" t="str">
        <f>IF(($A132+9)&gt;$B$11, "", IF(IF(($B$9+2*(($A132+9)/100)*SQRT(1+$B$10^2))&gt;0,(($B$9 * (($A132+9)/100))+($B$10 * (($A132+9)/100)^2))/($B$9+2*(($A132+9)/100)*SQRT(1+$B$10^2)),0)&gt;0,(1/$B$17)*(IF(($B$9+2*(($A132+9)/100)*SQRT(1+$B$10^2))&gt;0,(($B$9 * (($A132+9)/100))+($B$10 * (($A132+9)/100)^2))/($B$9+2*(($A132+9)/100)*SQRT(1+$B$10^2)),0)^(2/3))*SQRT($B$16),0) * (($B$9 * (($A132+9)/100)) + (($B$10 * (($A132+9)/100)^2) * $B$19)))</f>
        <v/>
      </c>
    </row>
    <row r="133">
      <c r="A133" s="11">
        <v>430</v>
      </c>
      <c r="B133" s="12" t="str">
        <f>IF(($A133+0)&gt;$B$11, "", IF(IF(($B$9+2*(($A133+0)/100)*SQRT(1+$B$10^2))&gt;0,(($B$9 * (($A133+0)/100))+($B$10 * (($A133+0)/100)^2))/($B$9+2*(($A133+0)/100)*SQRT(1+$B$10^2)),0)&gt;0,(1/$B$17)*(IF(($B$9+2*(($A133+0)/100)*SQRT(1+$B$10^2))&gt;0,(($B$9 * (($A133+0)/100))+($B$10 * (($A133+0)/100)^2))/($B$9+2*(($A133+0)/100)*SQRT(1+$B$10^2)),0)^(2/3))*SQRT($B$16),0) * (($B$9 * (($A133+0)/100)) + (($B$10 * (($A133+0)/100)^2) * $B$19)))</f>
        <v/>
      </c>
      <c r="C133" s="12" t="str">
        <f>IF(($A133+1)&gt;$B$11, "", IF(IF(($B$9+2*(($A133+1)/100)*SQRT(1+$B$10^2))&gt;0,(($B$9 * (($A133+1)/100))+($B$10 * (($A133+1)/100)^2))/($B$9+2*(($A133+1)/100)*SQRT(1+$B$10^2)),0)&gt;0,(1/$B$17)*(IF(($B$9+2*(($A133+1)/100)*SQRT(1+$B$10^2))&gt;0,(($B$9 * (($A133+1)/100))+($B$10 * (($A133+1)/100)^2))/($B$9+2*(($A133+1)/100)*SQRT(1+$B$10^2)),0)^(2/3))*SQRT($B$16),0) * (($B$9 * (($A133+1)/100)) + (($B$10 * (($A133+1)/100)^2) * $B$19)))</f>
        <v/>
      </c>
      <c r="D133" s="12" t="str">
        <f>IF(($A133+2)&gt;$B$11, "", IF(IF(($B$9+2*(($A133+2)/100)*SQRT(1+$B$10^2))&gt;0,(($B$9 * (($A133+2)/100))+($B$10 * (($A133+2)/100)^2))/($B$9+2*(($A133+2)/100)*SQRT(1+$B$10^2)),0)&gt;0,(1/$B$17)*(IF(($B$9+2*(($A133+2)/100)*SQRT(1+$B$10^2))&gt;0,(($B$9 * (($A133+2)/100))+($B$10 * (($A133+2)/100)^2))/($B$9+2*(($A133+2)/100)*SQRT(1+$B$10^2)),0)^(2/3))*SQRT($B$16),0) * (($B$9 * (($A133+2)/100)) + (($B$10 * (($A133+2)/100)^2) * $B$19)))</f>
        <v/>
      </c>
      <c r="E133" s="12" t="str">
        <f>IF(($A133+3)&gt;$B$11, "", IF(IF(($B$9+2*(($A133+3)/100)*SQRT(1+$B$10^2))&gt;0,(($B$9 * (($A133+3)/100))+($B$10 * (($A133+3)/100)^2))/($B$9+2*(($A133+3)/100)*SQRT(1+$B$10^2)),0)&gt;0,(1/$B$17)*(IF(($B$9+2*(($A133+3)/100)*SQRT(1+$B$10^2))&gt;0,(($B$9 * (($A133+3)/100))+($B$10 * (($A133+3)/100)^2))/($B$9+2*(($A133+3)/100)*SQRT(1+$B$10^2)),0)^(2/3))*SQRT($B$16),0) * (($B$9 * (($A133+3)/100)) + (($B$10 * (($A133+3)/100)^2) * $B$19)))</f>
        <v/>
      </c>
      <c r="F133" s="12" t="str">
        <f>IF(($A133+4)&gt;$B$11, "", IF(IF(($B$9+2*(($A133+4)/100)*SQRT(1+$B$10^2))&gt;0,(($B$9 * (($A133+4)/100))+($B$10 * (($A133+4)/100)^2))/($B$9+2*(($A133+4)/100)*SQRT(1+$B$10^2)),0)&gt;0,(1/$B$17)*(IF(($B$9+2*(($A133+4)/100)*SQRT(1+$B$10^2))&gt;0,(($B$9 * (($A133+4)/100))+($B$10 * (($A133+4)/100)^2))/($B$9+2*(($A133+4)/100)*SQRT(1+$B$10^2)),0)^(2/3))*SQRT($B$16),0) * (($B$9 * (($A133+4)/100)) + (($B$10 * (($A133+4)/100)^2) * $B$19)))</f>
        <v/>
      </c>
      <c r="G133" s="12" t="str">
        <f>IF(($A133+5)&gt;$B$11, "", IF(IF(($B$9+2*(($A133+5)/100)*SQRT(1+$B$10^2))&gt;0,(($B$9 * (($A133+5)/100))+($B$10 * (($A133+5)/100)^2))/($B$9+2*(($A133+5)/100)*SQRT(1+$B$10^2)),0)&gt;0,(1/$B$17)*(IF(($B$9+2*(($A133+5)/100)*SQRT(1+$B$10^2))&gt;0,(($B$9 * (($A133+5)/100))+($B$10 * (($A133+5)/100)^2))/($B$9+2*(($A133+5)/100)*SQRT(1+$B$10^2)),0)^(2/3))*SQRT($B$16),0) * (($B$9 * (($A133+5)/100)) + (($B$10 * (($A133+5)/100)^2) * $B$19)))</f>
        <v/>
      </c>
      <c r="H133" s="12" t="str">
        <f>IF(($A133+6)&gt;$B$11, "", IF(IF(($B$9+2*(($A133+6)/100)*SQRT(1+$B$10^2))&gt;0,(($B$9 * (($A133+6)/100))+($B$10 * (($A133+6)/100)^2))/($B$9+2*(($A133+6)/100)*SQRT(1+$B$10^2)),0)&gt;0,(1/$B$17)*(IF(($B$9+2*(($A133+6)/100)*SQRT(1+$B$10^2))&gt;0,(($B$9 * (($A133+6)/100))+($B$10 * (($A133+6)/100)^2))/($B$9+2*(($A133+6)/100)*SQRT(1+$B$10^2)),0)^(2/3))*SQRT($B$16),0) * (($B$9 * (($A133+6)/100)) + (($B$10 * (($A133+6)/100)^2) * $B$19)))</f>
        <v/>
      </c>
      <c r="I133" s="12" t="str">
        <f>IF(($A133+7)&gt;$B$11, "", IF(IF(($B$9+2*(($A133+7)/100)*SQRT(1+$B$10^2))&gt;0,(($B$9 * (($A133+7)/100))+($B$10 * (($A133+7)/100)^2))/($B$9+2*(($A133+7)/100)*SQRT(1+$B$10^2)),0)&gt;0,(1/$B$17)*(IF(($B$9+2*(($A133+7)/100)*SQRT(1+$B$10^2))&gt;0,(($B$9 * (($A133+7)/100))+($B$10 * (($A133+7)/100)^2))/($B$9+2*(($A133+7)/100)*SQRT(1+$B$10^2)),0)^(2/3))*SQRT($B$16),0) * (($B$9 * (($A133+7)/100)) + (($B$10 * (($A133+7)/100)^2) * $B$19)))</f>
        <v/>
      </c>
      <c r="J133" s="12" t="str">
        <f>IF(($A133+8)&gt;$B$11, "", IF(IF(($B$9+2*(($A133+8)/100)*SQRT(1+$B$10^2))&gt;0,(($B$9 * (($A133+8)/100))+($B$10 * (($A133+8)/100)^2))/($B$9+2*(($A133+8)/100)*SQRT(1+$B$10^2)),0)&gt;0,(1/$B$17)*(IF(($B$9+2*(($A133+8)/100)*SQRT(1+$B$10^2))&gt;0,(($B$9 * (($A133+8)/100))+($B$10 * (($A133+8)/100)^2))/($B$9+2*(($A133+8)/100)*SQRT(1+$B$10^2)),0)^(2/3))*SQRT($B$16),0) * (($B$9 * (($A133+8)/100)) + (($B$10 * (($A133+8)/100)^2) * $B$19)))</f>
        <v/>
      </c>
      <c r="K133" s="12" t="str">
        <f>IF(($A133+9)&gt;$B$11, "", IF(IF(($B$9+2*(($A133+9)/100)*SQRT(1+$B$10^2))&gt;0,(($B$9 * (($A133+9)/100))+($B$10 * (($A133+9)/100)^2))/($B$9+2*(($A133+9)/100)*SQRT(1+$B$10^2)),0)&gt;0,(1/$B$17)*(IF(($B$9+2*(($A133+9)/100)*SQRT(1+$B$10^2))&gt;0,(($B$9 * (($A133+9)/100))+($B$10 * (($A133+9)/100)^2))/($B$9+2*(($A133+9)/100)*SQRT(1+$B$10^2)),0)^(2/3))*SQRT($B$16),0) * (($B$9 * (($A133+9)/100)) + (($B$10 * (($A133+9)/100)^2) * $B$19)))</f>
        <v/>
      </c>
    </row>
    <row r="134">
      <c r="A134" s="11">
        <v>440</v>
      </c>
      <c r="B134" s="12" t="str">
        <f>IF(($A134+0)&gt;$B$11, "", IF(IF(($B$9+2*(($A134+0)/100)*SQRT(1+$B$10^2))&gt;0,(($B$9 * (($A134+0)/100))+($B$10 * (($A134+0)/100)^2))/($B$9+2*(($A134+0)/100)*SQRT(1+$B$10^2)),0)&gt;0,(1/$B$17)*(IF(($B$9+2*(($A134+0)/100)*SQRT(1+$B$10^2))&gt;0,(($B$9 * (($A134+0)/100))+($B$10 * (($A134+0)/100)^2))/($B$9+2*(($A134+0)/100)*SQRT(1+$B$10^2)),0)^(2/3))*SQRT($B$16),0) * (($B$9 * (($A134+0)/100)) + (($B$10 * (($A134+0)/100)^2) * $B$19)))</f>
        <v/>
      </c>
      <c r="C134" s="12" t="str">
        <f>IF(($A134+1)&gt;$B$11, "", IF(IF(($B$9+2*(($A134+1)/100)*SQRT(1+$B$10^2))&gt;0,(($B$9 * (($A134+1)/100))+($B$10 * (($A134+1)/100)^2))/($B$9+2*(($A134+1)/100)*SQRT(1+$B$10^2)),0)&gt;0,(1/$B$17)*(IF(($B$9+2*(($A134+1)/100)*SQRT(1+$B$10^2))&gt;0,(($B$9 * (($A134+1)/100))+($B$10 * (($A134+1)/100)^2))/($B$9+2*(($A134+1)/100)*SQRT(1+$B$10^2)),0)^(2/3))*SQRT($B$16),0) * (($B$9 * (($A134+1)/100)) + (($B$10 * (($A134+1)/100)^2) * $B$19)))</f>
        <v/>
      </c>
      <c r="D134" s="12" t="str">
        <f>IF(($A134+2)&gt;$B$11, "", IF(IF(($B$9+2*(($A134+2)/100)*SQRT(1+$B$10^2))&gt;0,(($B$9 * (($A134+2)/100))+($B$10 * (($A134+2)/100)^2))/($B$9+2*(($A134+2)/100)*SQRT(1+$B$10^2)),0)&gt;0,(1/$B$17)*(IF(($B$9+2*(($A134+2)/100)*SQRT(1+$B$10^2))&gt;0,(($B$9 * (($A134+2)/100))+($B$10 * (($A134+2)/100)^2))/($B$9+2*(($A134+2)/100)*SQRT(1+$B$10^2)),0)^(2/3))*SQRT($B$16),0) * (($B$9 * (($A134+2)/100)) + (($B$10 * (($A134+2)/100)^2) * $B$19)))</f>
        <v/>
      </c>
      <c r="E134" s="12" t="str">
        <f>IF(($A134+3)&gt;$B$11, "", IF(IF(($B$9+2*(($A134+3)/100)*SQRT(1+$B$10^2))&gt;0,(($B$9 * (($A134+3)/100))+($B$10 * (($A134+3)/100)^2))/($B$9+2*(($A134+3)/100)*SQRT(1+$B$10^2)),0)&gt;0,(1/$B$17)*(IF(($B$9+2*(($A134+3)/100)*SQRT(1+$B$10^2))&gt;0,(($B$9 * (($A134+3)/100))+($B$10 * (($A134+3)/100)^2))/($B$9+2*(($A134+3)/100)*SQRT(1+$B$10^2)),0)^(2/3))*SQRT($B$16),0) * (($B$9 * (($A134+3)/100)) + (($B$10 * (($A134+3)/100)^2) * $B$19)))</f>
        <v/>
      </c>
      <c r="F134" s="12" t="str">
        <f>IF(($A134+4)&gt;$B$11, "", IF(IF(($B$9+2*(($A134+4)/100)*SQRT(1+$B$10^2))&gt;0,(($B$9 * (($A134+4)/100))+($B$10 * (($A134+4)/100)^2))/($B$9+2*(($A134+4)/100)*SQRT(1+$B$10^2)),0)&gt;0,(1/$B$17)*(IF(($B$9+2*(($A134+4)/100)*SQRT(1+$B$10^2))&gt;0,(($B$9 * (($A134+4)/100))+($B$10 * (($A134+4)/100)^2))/($B$9+2*(($A134+4)/100)*SQRT(1+$B$10^2)),0)^(2/3))*SQRT($B$16),0) * (($B$9 * (($A134+4)/100)) + (($B$10 * (($A134+4)/100)^2) * $B$19)))</f>
        <v/>
      </c>
      <c r="G134" s="12" t="str">
        <f>IF(($A134+5)&gt;$B$11, "", IF(IF(($B$9+2*(($A134+5)/100)*SQRT(1+$B$10^2))&gt;0,(($B$9 * (($A134+5)/100))+($B$10 * (($A134+5)/100)^2))/($B$9+2*(($A134+5)/100)*SQRT(1+$B$10^2)),0)&gt;0,(1/$B$17)*(IF(($B$9+2*(($A134+5)/100)*SQRT(1+$B$10^2))&gt;0,(($B$9 * (($A134+5)/100))+($B$10 * (($A134+5)/100)^2))/($B$9+2*(($A134+5)/100)*SQRT(1+$B$10^2)),0)^(2/3))*SQRT($B$16),0) * (($B$9 * (($A134+5)/100)) + (($B$10 * (($A134+5)/100)^2) * $B$19)))</f>
        <v/>
      </c>
      <c r="H134" s="12" t="str">
        <f>IF(($A134+6)&gt;$B$11, "", IF(IF(($B$9+2*(($A134+6)/100)*SQRT(1+$B$10^2))&gt;0,(($B$9 * (($A134+6)/100))+($B$10 * (($A134+6)/100)^2))/($B$9+2*(($A134+6)/100)*SQRT(1+$B$10^2)),0)&gt;0,(1/$B$17)*(IF(($B$9+2*(($A134+6)/100)*SQRT(1+$B$10^2))&gt;0,(($B$9 * (($A134+6)/100))+($B$10 * (($A134+6)/100)^2))/($B$9+2*(($A134+6)/100)*SQRT(1+$B$10^2)),0)^(2/3))*SQRT($B$16),0) * (($B$9 * (($A134+6)/100)) + (($B$10 * (($A134+6)/100)^2) * $B$19)))</f>
        <v/>
      </c>
      <c r="I134" s="12" t="str">
        <f>IF(($A134+7)&gt;$B$11, "", IF(IF(($B$9+2*(($A134+7)/100)*SQRT(1+$B$10^2))&gt;0,(($B$9 * (($A134+7)/100))+($B$10 * (($A134+7)/100)^2))/($B$9+2*(($A134+7)/100)*SQRT(1+$B$10^2)),0)&gt;0,(1/$B$17)*(IF(($B$9+2*(($A134+7)/100)*SQRT(1+$B$10^2))&gt;0,(($B$9 * (($A134+7)/100))+($B$10 * (($A134+7)/100)^2))/($B$9+2*(($A134+7)/100)*SQRT(1+$B$10^2)),0)^(2/3))*SQRT($B$16),0) * (($B$9 * (($A134+7)/100)) + (($B$10 * (($A134+7)/100)^2) * $B$19)))</f>
        <v/>
      </c>
      <c r="J134" s="12" t="str">
        <f>IF(($A134+8)&gt;$B$11, "", IF(IF(($B$9+2*(($A134+8)/100)*SQRT(1+$B$10^2))&gt;0,(($B$9 * (($A134+8)/100))+($B$10 * (($A134+8)/100)^2))/($B$9+2*(($A134+8)/100)*SQRT(1+$B$10^2)),0)&gt;0,(1/$B$17)*(IF(($B$9+2*(($A134+8)/100)*SQRT(1+$B$10^2))&gt;0,(($B$9 * (($A134+8)/100))+($B$10 * (($A134+8)/100)^2))/($B$9+2*(($A134+8)/100)*SQRT(1+$B$10^2)),0)^(2/3))*SQRT($B$16),0) * (($B$9 * (($A134+8)/100)) + (($B$10 * (($A134+8)/100)^2) * $B$19)))</f>
        <v/>
      </c>
      <c r="K134" s="12" t="str">
        <f>IF(($A134+9)&gt;$B$11, "", IF(IF(($B$9+2*(($A134+9)/100)*SQRT(1+$B$10^2))&gt;0,(($B$9 * (($A134+9)/100))+($B$10 * (($A134+9)/100)^2))/($B$9+2*(($A134+9)/100)*SQRT(1+$B$10^2)),0)&gt;0,(1/$B$17)*(IF(($B$9+2*(($A134+9)/100)*SQRT(1+$B$10^2))&gt;0,(($B$9 * (($A134+9)/100))+($B$10 * (($A134+9)/100)^2))/($B$9+2*(($A134+9)/100)*SQRT(1+$B$10^2)),0)^(2/3))*SQRT($B$16),0) * (($B$9 * (($A134+9)/100)) + (($B$10 * (($A134+9)/100)^2) * $B$19)))</f>
        <v/>
      </c>
    </row>
    <row r="135">
      <c r="A135" s="11">
        <v>450</v>
      </c>
      <c r="B135" s="12" t="str">
        <f>IF(($A135+0)&gt;$B$11, "", IF(IF(($B$9+2*(($A135+0)/100)*SQRT(1+$B$10^2))&gt;0,(($B$9 * (($A135+0)/100))+($B$10 * (($A135+0)/100)^2))/($B$9+2*(($A135+0)/100)*SQRT(1+$B$10^2)),0)&gt;0,(1/$B$17)*(IF(($B$9+2*(($A135+0)/100)*SQRT(1+$B$10^2))&gt;0,(($B$9 * (($A135+0)/100))+($B$10 * (($A135+0)/100)^2))/($B$9+2*(($A135+0)/100)*SQRT(1+$B$10^2)),0)^(2/3))*SQRT($B$16),0) * (($B$9 * (($A135+0)/100)) + (($B$10 * (($A135+0)/100)^2) * $B$19)))</f>
        <v/>
      </c>
      <c r="C135" s="12" t="str">
        <f>IF(($A135+1)&gt;$B$11, "", IF(IF(($B$9+2*(($A135+1)/100)*SQRT(1+$B$10^2))&gt;0,(($B$9 * (($A135+1)/100))+($B$10 * (($A135+1)/100)^2))/($B$9+2*(($A135+1)/100)*SQRT(1+$B$10^2)),0)&gt;0,(1/$B$17)*(IF(($B$9+2*(($A135+1)/100)*SQRT(1+$B$10^2))&gt;0,(($B$9 * (($A135+1)/100))+($B$10 * (($A135+1)/100)^2))/($B$9+2*(($A135+1)/100)*SQRT(1+$B$10^2)),0)^(2/3))*SQRT($B$16),0) * (($B$9 * (($A135+1)/100)) + (($B$10 * (($A135+1)/100)^2) * $B$19)))</f>
        <v/>
      </c>
      <c r="D135" s="12" t="str">
        <f>IF(($A135+2)&gt;$B$11, "", IF(IF(($B$9+2*(($A135+2)/100)*SQRT(1+$B$10^2))&gt;0,(($B$9 * (($A135+2)/100))+($B$10 * (($A135+2)/100)^2))/($B$9+2*(($A135+2)/100)*SQRT(1+$B$10^2)),0)&gt;0,(1/$B$17)*(IF(($B$9+2*(($A135+2)/100)*SQRT(1+$B$10^2))&gt;0,(($B$9 * (($A135+2)/100))+($B$10 * (($A135+2)/100)^2))/($B$9+2*(($A135+2)/100)*SQRT(1+$B$10^2)),0)^(2/3))*SQRT($B$16),0) * (($B$9 * (($A135+2)/100)) + (($B$10 * (($A135+2)/100)^2) * $B$19)))</f>
        <v/>
      </c>
      <c r="E135" s="12" t="str">
        <f>IF(($A135+3)&gt;$B$11, "", IF(IF(($B$9+2*(($A135+3)/100)*SQRT(1+$B$10^2))&gt;0,(($B$9 * (($A135+3)/100))+($B$10 * (($A135+3)/100)^2))/($B$9+2*(($A135+3)/100)*SQRT(1+$B$10^2)),0)&gt;0,(1/$B$17)*(IF(($B$9+2*(($A135+3)/100)*SQRT(1+$B$10^2))&gt;0,(($B$9 * (($A135+3)/100))+($B$10 * (($A135+3)/100)^2))/($B$9+2*(($A135+3)/100)*SQRT(1+$B$10^2)),0)^(2/3))*SQRT($B$16),0) * (($B$9 * (($A135+3)/100)) + (($B$10 * (($A135+3)/100)^2) * $B$19)))</f>
        <v/>
      </c>
      <c r="F135" s="12" t="str">
        <f>IF(($A135+4)&gt;$B$11, "", IF(IF(($B$9+2*(($A135+4)/100)*SQRT(1+$B$10^2))&gt;0,(($B$9 * (($A135+4)/100))+($B$10 * (($A135+4)/100)^2))/($B$9+2*(($A135+4)/100)*SQRT(1+$B$10^2)),0)&gt;0,(1/$B$17)*(IF(($B$9+2*(($A135+4)/100)*SQRT(1+$B$10^2))&gt;0,(($B$9 * (($A135+4)/100))+($B$10 * (($A135+4)/100)^2))/($B$9+2*(($A135+4)/100)*SQRT(1+$B$10^2)),0)^(2/3))*SQRT($B$16),0) * (($B$9 * (($A135+4)/100)) + (($B$10 * (($A135+4)/100)^2) * $B$19)))</f>
        <v/>
      </c>
      <c r="G135" s="12" t="str">
        <f>IF(($A135+5)&gt;$B$11, "", IF(IF(($B$9+2*(($A135+5)/100)*SQRT(1+$B$10^2))&gt;0,(($B$9 * (($A135+5)/100))+($B$10 * (($A135+5)/100)^2))/($B$9+2*(($A135+5)/100)*SQRT(1+$B$10^2)),0)&gt;0,(1/$B$17)*(IF(($B$9+2*(($A135+5)/100)*SQRT(1+$B$10^2))&gt;0,(($B$9 * (($A135+5)/100))+($B$10 * (($A135+5)/100)^2))/($B$9+2*(($A135+5)/100)*SQRT(1+$B$10^2)),0)^(2/3))*SQRT($B$16),0) * (($B$9 * (($A135+5)/100)) + (($B$10 * (($A135+5)/100)^2) * $B$19)))</f>
        <v/>
      </c>
      <c r="H135" s="12" t="str">
        <f>IF(($A135+6)&gt;$B$11, "", IF(IF(($B$9+2*(($A135+6)/100)*SQRT(1+$B$10^2))&gt;0,(($B$9 * (($A135+6)/100))+($B$10 * (($A135+6)/100)^2))/($B$9+2*(($A135+6)/100)*SQRT(1+$B$10^2)),0)&gt;0,(1/$B$17)*(IF(($B$9+2*(($A135+6)/100)*SQRT(1+$B$10^2))&gt;0,(($B$9 * (($A135+6)/100))+($B$10 * (($A135+6)/100)^2))/($B$9+2*(($A135+6)/100)*SQRT(1+$B$10^2)),0)^(2/3))*SQRT($B$16),0) * (($B$9 * (($A135+6)/100)) + (($B$10 * (($A135+6)/100)^2) * $B$19)))</f>
        <v/>
      </c>
      <c r="I135" s="12" t="str">
        <f>IF(($A135+7)&gt;$B$11, "", IF(IF(($B$9+2*(($A135+7)/100)*SQRT(1+$B$10^2))&gt;0,(($B$9 * (($A135+7)/100))+($B$10 * (($A135+7)/100)^2))/($B$9+2*(($A135+7)/100)*SQRT(1+$B$10^2)),0)&gt;0,(1/$B$17)*(IF(($B$9+2*(($A135+7)/100)*SQRT(1+$B$10^2))&gt;0,(($B$9 * (($A135+7)/100))+($B$10 * (($A135+7)/100)^2))/($B$9+2*(($A135+7)/100)*SQRT(1+$B$10^2)),0)^(2/3))*SQRT($B$16),0) * (($B$9 * (($A135+7)/100)) + (($B$10 * (($A135+7)/100)^2) * $B$19)))</f>
        <v/>
      </c>
      <c r="J135" s="12" t="str">
        <f>IF(($A135+8)&gt;$B$11, "", IF(IF(($B$9+2*(($A135+8)/100)*SQRT(1+$B$10^2))&gt;0,(($B$9 * (($A135+8)/100))+($B$10 * (($A135+8)/100)^2))/($B$9+2*(($A135+8)/100)*SQRT(1+$B$10^2)),0)&gt;0,(1/$B$17)*(IF(($B$9+2*(($A135+8)/100)*SQRT(1+$B$10^2))&gt;0,(($B$9 * (($A135+8)/100))+($B$10 * (($A135+8)/100)^2))/($B$9+2*(($A135+8)/100)*SQRT(1+$B$10^2)),0)^(2/3))*SQRT($B$16),0) * (($B$9 * (($A135+8)/100)) + (($B$10 * (($A135+8)/100)^2) * $B$19)))</f>
        <v/>
      </c>
      <c r="K135" s="12" t="str">
        <f>IF(($A135+9)&gt;$B$11, "", IF(IF(($B$9+2*(($A135+9)/100)*SQRT(1+$B$10^2))&gt;0,(($B$9 * (($A135+9)/100))+($B$10 * (($A135+9)/100)^2))/($B$9+2*(($A135+9)/100)*SQRT(1+$B$10^2)),0)&gt;0,(1/$B$17)*(IF(($B$9+2*(($A135+9)/100)*SQRT(1+$B$10^2))&gt;0,(($B$9 * (($A135+9)/100))+($B$10 * (($A135+9)/100)^2))/($B$9+2*(($A135+9)/100)*SQRT(1+$B$10^2)),0)^(2/3))*SQRT($B$16),0) * (($B$9 * (($A135+9)/100)) + (($B$10 * (($A135+9)/100)^2) * $B$19)))</f>
        <v/>
      </c>
    </row>
    <row r="136">
      <c r="A136" s="11">
        <v>460</v>
      </c>
      <c r="B136" s="12" t="str">
        <f>IF(($A136+0)&gt;$B$11, "", IF(IF(($B$9+2*(($A136+0)/100)*SQRT(1+$B$10^2))&gt;0,(($B$9 * (($A136+0)/100))+($B$10 * (($A136+0)/100)^2))/($B$9+2*(($A136+0)/100)*SQRT(1+$B$10^2)),0)&gt;0,(1/$B$17)*(IF(($B$9+2*(($A136+0)/100)*SQRT(1+$B$10^2))&gt;0,(($B$9 * (($A136+0)/100))+($B$10 * (($A136+0)/100)^2))/($B$9+2*(($A136+0)/100)*SQRT(1+$B$10^2)),0)^(2/3))*SQRT($B$16),0) * (($B$9 * (($A136+0)/100)) + (($B$10 * (($A136+0)/100)^2) * $B$19)))</f>
        <v/>
      </c>
      <c r="C136" s="12" t="str">
        <f>IF(($A136+1)&gt;$B$11, "", IF(IF(($B$9+2*(($A136+1)/100)*SQRT(1+$B$10^2))&gt;0,(($B$9 * (($A136+1)/100))+($B$10 * (($A136+1)/100)^2))/($B$9+2*(($A136+1)/100)*SQRT(1+$B$10^2)),0)&gt;0,(1/$B$17)*(IF(($B$9+2*(($A136+1)/100)*SQRT(1+$B$10^2))&gt;0,(($B$9 * (($A136+1)/100))+($B$10 * (($A136+1)/100)^2))/($B$9+2*(($A136+1)/100)*SQRT(1+$B$10^2)),0)^(2/3))*SQRT($B$16),0) * (($B$9 * (($A136+1)/100)) + (($B$10 * (($A136+1)/100)^2) * $B$19)))</f>
        <v/>
      </c>
      <c r="D136" s="12" t="str">
        <f>IF(($A136+2)&gt;$B$11, "", IF(IF(($B$9+2*(($A136+2)/100)*SQRT(1+$B$10^2))&gt;0,(($B$9 * (($A136+2)/100))+($B$10 * (($A136+2)/100)^2))/($B$9+2*(($A136+2)/100)*SQRT(1+$B$10^2)),0)&gt;0,(1/$B$17)*(IF(($B$9+2*(($A136+2)/100)*SQRT(1+$B$10^2))&gt;0,(($B$9 * (($A136+2)/100))+($B$10 * (($A136+2)/100)^2))/($B$9+2*(($A136+2)/100)*SQRT(1+$B$10^2)),0)^(2/3))*SQRT($B$16),0) * (($B$9 * (($A136+2)/100)) + (($B$10 * (($A136+2)/100)^2) * $B$19)))</f>
        <v/>
      </c>
      <c r="E136" s="12" t="str">
        <f>IF(($A136+3)&gt;$B$11, "", IF(IF(($B$9+2*(($A136+3)/100)*SQRT(1+$B$10^2))&gt;0,(($B$9 * (($A136+3)/100))+($B$10 * (($A136+3)/100)^2))/($B$9+2*(($A136+3)/100)*SQRT(1+$B$10^2)),0)&gt;0,(1/$B$17)*(IF(($B$9+2*(($A136+3)/100)*SQRT(1+$B$10^2))&gt;0,(($B$9 * (($A136+3)/100))+($B$10 * (($A136+3)/100)^2))/($B$9+2*(($A136+3)/100)*SQRT(1+$B$10^2)),0)^(2/3))*SQRT($B$16),0) * (($B$9 * (($A136+3)/100)) + (($B$10 * (($A136+3)/100)^2) * $B$19)))</f>
        <v/>
      </c>
      <c r="F136" s="12" t="str">
        <f>IF(($A136+4)&gt;$B$11, "", IF(IF(($B$9+2*(($A136+4)/100)*SQRT(1+$B$10^2))&gt;0,(($B$9 * (($A136+4)/100))+($B$10 * (($A136+4)/100)^2))/($B$9+2*(($A136+4)/100)*SQRT(1+$B$10^2)),0)&gt;0,(1/$B$17)*(IF(($B$9+2*(($A136+4)/100)*SQRT(1+$B$10^2))&gt;0,(($B$9 * (($A136+4)/100))+($B$10 * (($A136+4)/100)^2))/($B$9+2*(($A136+4)/100)*SQRT(1+$B$10^2)),0)^(2/3))*SQRT($B$16),0) * (($B$9 * (($A136+4)/100)) + (($B$10 * (($A136+4)/100)^2) * $B$19)))</f>
        <v/>
      </c>
      <c r="G136" s="12" t="str">
        <f>IF(($A136+5)&gt;$B$11, "", IF(IF(($B$9+2*(($A136+5)/100)*SQRT(1+$B$10^2))&gt;0,(($B$9 * (($A136+5)/100))+($B$10 * (($A136+5)/100)^2))/($B$9+2*(($A136+5)/100)*SQRT(1+$B$10^2)),0)&gt;0,(1/$B$17)*(IF(($B$9+2*(($A136+5)/100)*SQRT(1+$B$10^2))&gt;0,(($B$9 * (($A136+5)/100))+($B$10 * (($A136+5)/100)^2))/($B$9+2*(($A136+5)/100)*SQRT(1+$B$10^2)),0)^(2/3))*SQRT($B$16),0) * (($B$9 * (($A136+5)/100)) + (($B$10 * (($A136+5)/100)^2) * $B$19)))</f>
        <v/>
      </c>
      <c r="H136" s="12" t="str">
        <f>IF(($A136+6)&gt;$B$11, "", IF(IF(($B$9+2*(($A136+6)/100)*SQRT(1+$B$10^2))&gt;0,(($B$9 * (($A136+6)/100))+($B$10 * (($A136+6)/100)^2))/($B$9+2*(($A136+6)/100)*SQRT(1+$B$10^2)),0)&gt;0,(1/$B$17)*(IF(($B$9+2*(($A136+6)/100)*SQRT(1+$B$10^2))&gt;0,(($B$9 * (($A136+6)/100))+($B$10 * (($A136+6)/100)^2))/($B$9+2*(($A136+6)/100)*SQRT(1+$B$10^2)),0)^(2/3))*SQRT($B$16),0) * (($B$9 * (($A136+6)/100)) + (($B$10 * (($A136+6)/100)^2) * $B$19)))</f>
        <v/>
      </c>
      <c r="I136" s="12" t="str">
        <f>IF(($A136+7)&gt;$B$11, "", IF(IF(($B$9+2*(($A136+7)/100)*SQRT(1+$B$10^2))&gt;0,(($B$9 * (($A136+7)/100))+($B$10 * (($A136+7)/100)^2))/($B$9+2*(($A136+7)/100)*SQRT(1+$B$10^2)),0)&gt;0,(1/$B$17)*(IF(($B$9+2*(($A136+7)/100)*SQRT(1+$B$10^2))&gt;0,(($B$9 * (($A136+7)/100))+($B$10 * (($A136+7)/100)^2))/($B$9+2*(($A136+7)/100)*SQRT(1+$B$10^2)),0)^(2/3))*SQRT($B$16),0) * (($B$9 * (($A136+7)/100)) + (($B$10 * (($A136+7)/100)^2) * $B$19)))</f>
        <v/>
      </c>
      <c r="J136" s="12" t="str">
        <f>IF(($A136+8)&gt;$B$11, "", IF(IF(($B$9+2*(($A136+8)/100)*SQRT(1+$B$10^2))&gt;0,(($B$9 * (($A136+8)/100))+($B$10 * (($A136+8)/100)^2))/($B$9+2*(($A136+8)/100)*SQRT(1+$B$10^2)),0)&gt;0,(1/$B$17)*(IF(($B$9+2*(($A136+8)/100)*SQRT(1+$B$10^2))&gt;0,(($B$9 * (($A136+8)/100))+($B$10 * (($A136+8)/100)^2))/($B$9+2*(($A136+8)/100)*SQRT(1+$B$10^2)),0)^(2/3))*SQRT($B$16),0) * (($B$9 * (($A136+8)/100)) + (($B$10 * (($A136+8)/100)^2) * $B$19)))</f>
        <v/>
      </c>
      <c r="K136" s="12" t="str">
        <f>IF(($A136+9)&gt;$B$11, "", IF(IF(($B$9+2*(($A136+9)/100)*SQRT(1+$B$10^2))&gt;0,(($B$9 * (($A136+9)/100))+($B$10 * (($A136+9)/100)^2))/($B$9+2*(($A136+9)/100)*SQRT(1+$B$10^2)),0)&gt;0,(1/$B$17)*(IF(($B$9+2*(($A136+9)/100)*SQRT(1+$B$10^2))&gt;0,(($B$9 * (($A136+9)/100))+($B$10 * (($A136+9)/100)^2))/($B$9+2*(($A136+9)/100)*SQRT(1+$B$10^2)),0)^(2/3))*SQRT($B$16),0) * (($B$9 * (($A136+9)/100)) + (($B$10 * (($A136+9)/100)^2) * $B$19)))</f>
        <v/>
      </c>
    </row>
    <row r="137">
      <c r="A137" s="11">
        <v>470</v>
      </c>
      <c r="B137" s="12" t="str">
        <f>IF(($A137+0)&gt;$B$11, "", IF(IF(($B$9+2*(($A137+0)/100)*SQRT(1+$B$10^2))&gt;0,(($B$9 * (($A137+0)/100))+($B$10 * (($A137+0)/100)^2))/($B$9+2*(($A137+0)/100)*SQRT(1+$B$10^2)),0)&gt;0,(1/$B$17)*(IF(($B$9+2*(($A137+0)/100)*SQRT(1+$B$10^2))&gt;0,(($B$9 * (($A137+0)/100))+($B$10 * (($A137+0)/100)^2))/($B$9+2*(($A137+0)/100)*SQRT(1+$B$10^2)),0)^(2/3))*SQRT($B$16),0) * (($B$9 * (($A137+0)/100)) + (($B$10 * (($A137+0)/100)^2) * $B$19)))</f>
        <v/>
      </c>
      <c r="C137" s="12" t="str">
        <f>IF(($A137+1)&gt;$B$11, "", IF(IF(($B$9+2*(($A137+1)/100)*SQRT(1+$B$10^2))&gt;0,(($B$9 * (($A137+1)/100))+($B$10 * (($A137+1)/100)^2))/($B$9+2*(($A137+1)/100)*SQRT(1+$B$10^2)),0)&gt;0,(1/$B$17)*(IF(($B$9+2*(($A137+1)/100)*SQRT(1+$B$10^2))&gt;0,(($B$9 * (($A137+1)/100))+($B$10 * (($A137+1)/100)^2))/($B$9+2*(($A137+1)/100)*SQRT(1+$B$10^2)),0)^(2/3))*SQRT($B$16),0) * (($B$9 * (($A137+1)/100)) + (($B$10 * (($A137+1)/100)^2) * $B$19)))</f>
        <v/>
      </c>
      <c r="D137" s="12" t="str">
        <f>IF(($A137+2)&gt;$B$11, "", IF(IF(($B$9+2*(($A137+2)/100)*SQRT(1+$B$10^2))&gt;0,(($B$9 * (($A137+2)/100))+($B$10 * (($A137+2)/100)^2))/($B$9+2*(($A137+2)/100)*SQRT(1+$B$10^2)),0)&gt;0,(1/$B$17)*(IF(($B$9+2*(($A137+2)/100)*SQRT(1+$B$10^2))&gt;0,(($B$9 * (($A137+2)/100))+($B$10 * (($A137+2)/100)^2))/($B$9+2*(($A137+2)/100)*SQRT(1+$B$10^2)),0)^(2/3))*SQRT($B$16),0) * (($B$9 * (($A137+2)/100)) + (($B$10 * (($A137+2)/100)^2) * $B$19)))</f>
        <v/>
      </c>
      <c r="E137" s="12" t="str">
        <f>IF(($A137+3)&gt;$B$11, "", IF(IF(($B$9+2*(($A137+3)/100)*SQRT(1+$B$10^2))&gt;0,(($B$9 * (($A137+3)/100))+($B$10 * (($A137+3)/100)^2))/($B$9+2*(($A137+3)/100)*SQRT(1+$B$10^2)),0)&gt;0,(1/$B$17)*(IF(($B$9+2*(($A137+3)/100)*SQRT(1+$B$10^2))&gt;0,(($B$9 * (($A137+3)/100))+($B$10 * (($A137+3)/100)^2))/($B$9+2*(($A137+3)/100)*SQRT(1+$B$10^2)),0)^(2/3))*SQRT($B$16),0) * (($B$9 * (($A137+3)/100)) + (($B$10 * (($A137+3)/100)^2) * $B$19)))</f>
        <v/>
      </c>
      <c r="F137" s="12" t="str">
        <f>IF(($A137+4)&gt;$B$11, "", IF(IF(($B$9+2*(($A137+4)/100)*SQRT(1+$B$10^2))&gt;0,(($B$9 * (($A137+4)/100))+($B$10 * (($A137+4)/100)^2))/($B$9+2*(($A137+4)/100)*SQRT(1+$B$10^2)),0)&gt;0,(1/$B$17)*(IF(($B$9+2*(($A137+4)/100)*SQRT(1+$B$10^2))&gt;0,(($B$9 * (($A137+4)/100))+($B$10 * (($A137+4)/100)^2))/($B$9+2*(($A137+4)/100)*SQRT(1+$B$10^2)),0)^(2/3))*SQRT($B$16),0) * (($B$9 * (($A137+4)/100)) + (($B$10 * (($A137+4)/100)^2) * $B$19)))</f>
        <v/>
      </c>
      <c r="G137" s="12" t="str">
        <f>IF(($A137+5)&gt;$B$11, "", IF(IF(($B$9+2*(($A137+5)/100)*SQRT(1+$B$10^2))&gt;0,(($B$9 * (($A137+5)/100))+($B$10 * (($A137+5)/100)^2))/($B$9+2*(($A137+5)/100)*SQRT(1+$B$10^2)),0)&gt;0,(1/$B$17)*(IF(($B$9+2*(($A137+5)/100)*SQRT(1+$B$10^2))&gt;0,(($B$9 * (($A137+5)/100))+($B$10 * (($A137+5)/100)^2))/($B$9+2*(($A137+5)/100)*SQRT(1+$B$10^2)),0)^(2/3))*SQRT($B$16),0) * (($B$9 * (($A137+5)/100)) + (($B$10 * (($A137+5)/100)^2) * $B$19)))</f>
        <v/>
      </c>
      <c r="H137" s="12" t="str">
        <f>IF(($A137+6)&gt;$B$11, "", IF(IF(($B$9+2*(($A137+6)/100)*SQRT(1+$B$10^2))&gt;0,(($B$9 * (($A137+6)/100))+($B$10 * (($A137+6)/100)^2))/($B$9+2*(($A137+6)/100)*SQRT(1+$B$10^2)),0)&gt;0,(1/$B$17)*(IF(($B$9+2*(($A137+6)/100)*SQRT(1+$B$10^2))&gt;0,(($B$9 * (($A137+6)/100))+($B$10 * (($A137+6)/100)^2))/($B$9+2*(($A137+6)/100)*SQRT(1+$B$10^2)),0)^(2/3))*SQRT($B$16),0) * (($B$9 * (($A137+6)/100)) + (($B$10 * (($A137+6)/100)^2) * $B$19)))</f>
        <v/>
      </c>
      <c r="I137" s="12" t="str">
        <f>IF(($A137+7)&gt;$B$11, "", IF(IF(($B$9+2*(($A137+7)/100)*SQRT(1+$B$10^2))&gt;0,(($B$9 * (($A137+7)/100))+($B$10 * (($A137+7)/100)^2))/($B$9+2*(($A137+7)/100)*SQRT(1+$B$10^2)),0)&gt;0,(1/$B$17)*(IF(($B$9+2*(($A137+7)/100)*SQRT(1+$B$10^2))&gt;0,(($B$9 * (($A137+7)/100))+($B$10 * (($A137+7)/100)^2))/($B$9+2*(($A137+7)/100)*SQRT(1+$B$10^2)),0)^(2/3))*SQRT($B$16),0) * (($B$9 * (($A137+7)/100)) + (($B$10 * (($A137+7)/100)^2) * $B$19)))</f>
        <v/>
      </c>
      <c r="J137" s="12" t="str">
        <f>IF(($A137+8)&gt;$B$11, "", IF(IF(($B$9+2*(($A137+8)/100)*SQRT(1+$B$10^2))&gt;0,(($B$9 * (($A137+8)/100))+($B$10 * (($A137+8)/100)^2))/($B$9+2*(($A137+8)/100)*SQRT(1+$B$10^2)),0)&gt;0,(1/$B$17)*(IF(($B$9+2*(($A137+8)/100)*SQRT(1+$B$10^2))&gt;0,(($B$9 * (($A137+8)/100))+($B$10 * (($A137+8)/100)^2))/($B$9+2*(($A137+8)/100)*SQRT(1+$B$10^2)),0)^(2/3))*SQRT($B$16),0) * (($B$9 * (($A137+8)/100)) + (($B$10 * (($A137+8)/100)^2) * $B$19)))</f>
        <v/>
      </c>
      <c r="K137" s="12" t="str">
        <f>IF(($A137+9)&gt;$B$11, "", IF(IF(($B$9+2*(($A137+9)/100)*SQRT(1+$B$10^2))&gt;0,(($B$9 * (($A137+9)/100))+($B$10 * (($A137+9)/100)^2))/($B$9+2*(($A137+9)/100)*SQRT(1+$B$10^2)),0)&gt;0,(1/$B$17)*(IF(($B$9+2*(($A137+9)/100)*SQRT(1+$B$10^2))&gt;0,(($B$9 * (($A137+9)/100))+($B$10 * (($A137+9)/100)^2))/($B$9+2*(($A137+9)/100)*SQRT(1+$B$10^2)),0)^(2/3))*SQRT($B$16),0) * (($B$9 * (($A137+9)/100)) + (($B$10 * (($A137+9)/100)^2) * $B$19)))</f>
        <v/>
      </c>
    </row>
    <row r="138">
      <c r="A138" s="11">
        <v>480</v>
      </c>
      <c r="B138" s="12" t="str">
        <f>IF(($A138+0)&gt;$B$11, "", IF(IF(($B$9+2*(($A138+0)/100)*SQRT(1+$B$10^2))&gt;0,(($B$9 * (($A138+0)/100))+($B$10 * (($A138+0)/100)^2))/($B$9+2*(($A138+0)/100)*SQRT(1+$B$10^2)),0)&gt;0,(1/$B$17)*(IF(($B$9+2*(($A138+0)/100)*SQRT(1+$B$10^2))&gt;0,(($B$9 * (($A138+0)/100))+($B$10 * (($A138+0)/100)^2))/($B$9+2*(($A138+0)/100)*SQRT(1+$B$10^2)),0)^(2/3))*SQRT($B$16),0) * (($B$9 * (($A138+0)/100)) + (($B$10 * (($A138+0)/100)^2) * $B$19)))</f>
        <v/>
      </c>
      <c r="C138" s="12" t="str">
        <f>IF(($A138+1)&gt;$B$11, "", IF(IF(($B$9+2*(($A138+1)/100)*SQRT(1+$B$10^2))&gt;0,(($B$9 * (($A138+1)/100))+($B$10 * (($A138+1)/100)^2))/($B$9+2*(($A138+1)/100)*SQRT(1+$B$10^2)),0)&gt;0,(1/$B$17)*(IF(($B$9+2*(($A138+1)/100)*SQRT(1+$B$10^2))&gt;0,(($B$9 * (($A138+1)/100))+($B$10 * (($A138+1)/100)^2))/($B$9+2*(($A138+1)/100)*SQRT(1+$B$10^2)),0)^(2/3))*SQRT($B$16),0) * (($B$9 * (($A138+1)/100)) + (($B$10 * (($A138+1)/100)^2) * $B$19)))</f>
        <v/>
      </c>
      <c r="D138" s="12" t="str">
        <f>IF(($A138+2)&gt;$B$11, "", IF(IF(($B$9+2*(($A138+2)/100)*SQRT(1+$B$10^2))&gt;0,(($B$9 * (($A138+2)/100))+($B$10 * (($A138+2)/100)^2))/($B$9+2*(($A138+2)/100)*SQRT(1+$B$10^2)),0)&gt;0,(1/$B$17)*(IF(($B$9+2*(($A138+2)/100)*SQRT(1+$B$10^2))&gt;0,(($B$9 * (($A138+2)/100))+($B$10 * (($A138+2)/100)^2))/($B$9+2*(($A138+2)/100)*SQRT(1+$B$10^2)),0)^(2/3))*SQRT($B$16),0) * (($B$9 * (($A138+2)/100)) + (($B$10 * (($A138+2)/100)^2) * $B$19)))</f>
        <v/>
      </c>
      <c r="E138" s="12" t="str">
        <f>IF(($A138+3)&gt;$B$11, "", IF(IF(($B$9+2*(($A138+3)/100)*SQRT(1+$B$10^2))&gt;0,(($B$9 * (($A138+3)/100))+($B$10 * (($A138+3)/100)^2))/($B$9+2*(($A138+3)/100)*SQRT(1+$B$10^2)),0)&gt;0,(1/$B$17)*(IF(($B$9+2*(($A138+3)/100)*SQRT(1+$B$10^2))&gt;0,(($B$9 * (($A138+3)/100))+($B$10 * (($A138+3)/100)^2))/($B$9+2*(($A138+3)/100)*SQRT(1+$B$10^2)),0)^(2/3))*SQRT($B$16),0) * (($B$9 * (($A138+3)/100)) + (($B$10 * (($A138+3)/100)^2) * $B$19)))</f>
        <v/>
      </c>
      <c r="F138" s="12" t="str">
        <f>IF(($A138+4)&gt;$B$11, "", IF(IF(($B$9+2*(($A138+4)/100)*SQRT(1+$B$10^2))&gt;0,(($B$9 * (($A138+4)/100))+($B$10 * (($A138+4)/100)^2))/($B$9+2*(($A138+4)/100)*SQRT(1+$B$10^2)),0)&gt;0,(1/$B$17)*(IF(($B$9+2*(($A138+4)/100)*SQRT(1+$B$10^2))&gt;0,(($B$9 * (($A138+4)/100))+($B$10 * (($A138+4)/100)^2))/($B$9+2*(($A138+4)/100)*SQRT(1+$B$10^2)),0)^(2/3))*SQRT($B$16),0) * (($B$9 * (($A138+4)/100)) + (($B$10 * (($A138+4)/100)^2) * $B$19)))</f>
        <v/>
      </c>
      <c r="G138" s="12" t="str">
        <f>IF(($A138+5)&gt;$B$11, "", IF(IF(($B$9+2*(($A138+5)/100)*SQRT(1+$B$10^2))&gt;0,(($B$9 * (($A138+5)/100))+($B$10 * (($A138+5)/100)^2))/($B$9+2*(($A138+5)/100)*SQRT(1+$B$10^2)),0)&gt;0,(1/$B$17)*(IF(($B$9+2*(($A138+5)/100)*SQRT(1+$B$10^2))&gt;0,(($B$9 * (($A138+5)/100))+($B$10 * (($A138+5)/100)^2))/($B$9+2*(($A138+5)/100)*SQRT(1+$B$10^2)),0)^(2/3))*SQRT($B$16),0) * (($B$9 * (($A138+5)/100)) + (($B$10 * (($A138+5)/100)^2) * $B$19)))</f>
        <v/>
      </c>
      <c r="H138" s="12" t="str">
        <f>IF(($A138+6)&gt;$B$11, "", IF(IF(($B$9+2*(($A138+6)/100)*SQRT(1+$B$10^2))&gt;0,(($B$9 * (($A138+6)/100))+($B$10 * (($A138+6)/100)^2))/($B$9+2*(($A138+6)/100)*SQRT(1+$B$10^2)),0)&gt;0,(1/$B$17)*(IF(($B$9+2*(($A138+6)/100)*SQRT(1+$B$10^2))&gt;0,(($B$9 * (($A138+6)/100))+($B$10 * (($A138+6)/100)^2))/($B$9+2*(($A138+6)/100)*SQRT(1+$B$10^2)),0)^(2/3))*SQRT($B$16),0) * (($B$9 * (($A138+6)/100)) + (($B$10 * (($A138+6)/100)^2) * $B$19)))</f>
        <v/>
      </c>
      <c r="I138" s="12" t="str">
        <f>IF(($A138+7)&gt;$B$11, "", IF(IF(($B$9+2*(($A138+7)/100)*SQRT(1+$B$10^2))&gt;0,(($B$9 * (($A138+7)/100))+($B$10 * (($A138+7)/100)^2))/($B$9+2*(($A138+7)/100)*SQRT(1+$B$10^2)),0)&gt;0,(1/$B$17)*(IF(($B$9+2*(($A138+7)/100)*SQRT(1+$B$10^2))&gt;0,(($B$9 * (($A138+7)/100))+($B$10 * (($A138+7)/100)^2))/($B$9+2*(($A138+7)/100)*SQRT(1+$B$10^2)),0)^(2/3))*SQRT($B$16),0) * (($B$9 * (($A138+7)/100)) + (($B$10 * (($A138+7)/100)^2) * $B$19)))</f>
        <v/>
      </c>
      <c r="J138" s="12" t="str">
        <f>IF(($A138+8)&gt;$B$11, "", IF(IF(($B$9+2*(($A138+8)/100)*SQRT(1+$B$10^2))&gt;0,(($B$9 * (($A138+8)/100))+($B$10 * (($A138+8)/100)^2))/($B$9+2*(($A138+8)/100)*SQRT(1+$B$10^2)),0)&gt;0,(1/$B$17)*(IF(($B$9+2*(($A138+8)/100)*SQRT(1+$B$10^2))&gt;0,(($B$9 * (($A138+8)/100))+($B$10 * (($A138+8)/100)^2))/($B$9+2*(($A138+8)/100)*SQRT(1+$B$10^2)),0)^(2/3))*SQRT($B$16),0) * (($B$9 * (($A138+8)/100)) + (($B$10 * (($A138+8)/100)^2) * $B$19)))</f>
        <v/>
      </c>
      <c r="K138" s="12" t="str">
        <f>IF(($A138+9)&gt;$B$11, "", IF(IF(($B$9+2*(($A138+9)/100)*SQRT(1+$B$10^2))&gt;0,(($B$9 * (($A138+9)/100))+($B$10 * (($A138+9)/100)^2))/($B$9+2*(($A138+9)/100)*SQRT(1+$B$10^2)),0)&gt;0,(1/$B$17)*(IF(($B$9+2*(($A138+9)/100)*SQRT(1+$B$10^2))&gt;0,(($B$9 * (($A138+9)/100))+($B$10 * (($A138+9)/100)^2))/($B$9+2*(($A138+9)/100)*SQRT(1+$B$10^2)),0)^(2/3))*SQRT($B$16),0) * (($B$9 * (($A138+9)/100)) + (($B$10 * (($A138+9)/100)^2) * $B$19)))</f>
        <v/>
      </c>
    </row>
    <row r="139">
      <c r="A139" s="11">
        <v>490</v>
      </c>
      <c r="B139" s="12" t="str">
        <f>IF(($A139+0)&gt;$B$11, "", IF(IF(($B$9+2*(($A139+0)/100)*SQRT(1+$B$10^2))&gt;0,(($B$9 * (($A139+0)/100))+($B$10 * (($A139+0)/100)^2))/($B$9+2*(($A139+0)/100)*SQRT(1+$B$10^2)),0)&gt;0,(1/$B$17)*(IF(($B$9+2*(($A139+0)/100)*SQRT(1+$B$10^2))&gt;0,(($B$9 * (($A139+0)/100))+($B$10 * (($A139+0)/100)^2))/($B$9+2*(($A139+0)/100)*SQRT(1+$B$10^2)),0)^(2/3))*SQRT($B$16),0) * (($B$9 * (($A139+0)/100)) + (($B$10 * (($A139+0)/100)^2) * $B$19)))</f>
        <v/>
      </c>
      <c r="C139" s="12" t="str">
        <f>IF(($A139+1)&gt;$B$11, "", IF(IF(($B$9+2*(($A139+1)/100)*SQRT(1+$B$10^2))&gt;0,(($B$9 * (($A139+1)/100))+($B$10 * (($A139+1)/100)^2))/($B$9+2*(($A139+1)/100)*SQRT(1+$B$10^2)),0)&gt;0,(1/$B$17)*(IF(($B$9+2*(($A139+1)/100)*SQRT(1+$B$10^2))&gt;0,(($B$9 * (($A139+1)/100))+($B$10 * (($A139+1)/100)^2))/($B$9+2*(($A139+1)/100)*SQRT(1+$B$10^2)),0)^(2/3))*SQRT($B$16),0) * (($B$9 * (($A139+1)/100)) + (($B$10 * (($A139+1)/100)^2) * $B$19)))</f>
        <v/>
      </c>
      <c r="D139" s="12" t="str">
        <f>IF(($A139+2)&gt;$B$11, "", IF(IF(($B$9+2*(($A139+2)/100)*SQRT(1+$B$10^2))&gt;0,(($B$9 * (($A139+2)/100))+($B$10 * (($A139+2)/100)^2))/($B$9+2*(($A139+2)/100)*SQRT(1+$B$10^2)),0)&gt;0,(1/$B$17)*(IF(($B$9+2*(($A139+2)/100)*SQRT(1+$B$10^2))&gt;0,(($B$9 * (($A139+2)/100))+($B$10 * (($A139+2)/100)^2))/($B$9+2*(($A139+2)/100)*SQRT(1+$B$10^2)),0)^(2/3))*SQRT($B$16),0) * (($B$9 * (($A139+2)/100)) + (($B$10 * (($A139+2)/100)^2) * $B$19)))</f>
        <v/>
      </c>
      <c r="E139" s="12" t="str">
        <f>IF(($A139+3)&gt;$B$11, "", IF(IF(($B$9+2*(($A139+3)/100)*SQRT(1+$B$10^2))&gt;0,(($B$9 * (($A139+3)/100))+($B$10 * (($A139+3)/100)^2))/($B$9+2*(($A139+3)/100)*SQRT(1+$B$10^2)),0)&gt;0,(1/$B$17)*(IF(($B$9+2*(($A139+3)/100)*SQRT(1+$B$10^2))&gt;0,(($B$9 * (($A139+3)/100))+($B$10 * (($A139+3)/100)^2))/($B$9+2*(($A139+3)/100)*SQRT(1+$B$10^2)),0)^(2/3))*SQRT($B$16),0) * (($B$9 * (($A139+3)/100)) + (($B$10 * (($A139+3)/100)^2) * $B$19)))</f>
        <v/>
      </c>
      <c r="F139" s="12" t="str">
        <f>IF(($A139+4)&gt;$B$11, "", IF(IF(($B$9+2*(($A139+4)/100)*SQRT(1+$B$10^2))&gt;0,(($B$9 * (($A139+4)/100))+($B$10 * (($A139+4)/100)^2))/($B$9+2*(($A139+4)/100)*SQRT(1+$B$10^2)),0)&gt;0,(1/$B$17)*(IF(($B$9+2*(($A139+4)/100)*SQRT(1+$B$10^2))&gt;0,(($B$9 * (($A139+4)/100))+($B$10 * (($A139+4)/100)^2))/($B$9+2*(($A139+4)/100)*SQRT(1+$B$10^2)),0)^(2/3))*SQRT($B$16),0) * (($B$9 * (($A139+4)/100)) + (($B$10 * (($A139+4)/100)^2) * $B$19)))</f>
        <v/>
      </c>
      <c r="G139" s="12" t="str">
        <f>IF(($A139+5)&gt;$B$11, "", IF(IF(($B$9+2*(($A139+5)/100)*SQRT(1+$B$10^2))&gt;0,(($B$9 * (($A139+5)/100))+($B$10 * (($A139+5)/100)^2))/($B$9+2*(($A139+5)/100)*SQRT(1+$B$10^2)),0)&gt;0,(1/$B$17)*(IF(($B$9+2*(($A139+5)/100)*SQRT(1+$B$10^2))&gt;0,(($B$9 * (($A139+5)/100))+($B$10 * (($A139+5)/100)^2))/($B$9+2*(($A139+5)/100)*SQRT(1+$B$10^2)),0)^(2/3))*SQRT($B$16),0) * (($B$9 * (($A139+5)/100)) + (($B$10 * (($A139+5)/100)^2) * $B$19)))</f>
        <v/>
      </c>
      <c r="H139" s="12" t="str">
        <f>IF(($A139+6)&gt;$B$11, "", IF(IF(($B$9+2*(($A139+6)/100)*SQRT(1+$B$10^2))&gt;0,(($B$9 * (($A139+6)/100))+($B$10 * (($A139+6)/100)^2))/($B$9+2*(($A139+6)/100)*SQRT(1+$B$10^2)),0)&gt;0,(1/$B$17)*(IF(($B$9+2*(($A139+6)/100)*SQRT(1+$B$10^2))&gt;0,(($B$9 * (($A139+6)/100))+($B$10 * (($A139+6)/100)^2))/($B$9+2*(($A139+6)/100)*SQRT(1+$B$10^2)),0)^(2/3))*SQRT($B$16),0) * (($B$9 * (($A139+6)/100)) + (($B$10 * (($A139+6)/100)^2) * $B$19)))</f>
        <v/>
      </c>
      <c r="I139" s="12" t="str">
        <f>IF(($A139+7)&gt;$B$11, "", IF(IF(($B$9+2*(($A139+7)/100)*SQRT(1+$B$10^2))&gt;0,(($B$9 * (($A139+7)/100))+($B$10 * (($A139+7)/100)^2))/($B$9+2*(($A139+7)/100)*SQRT(1+$B$10^2)),0)&gt;0,(1/$B$17)*(IF(($B$9+2*(($A139+7)/100)*SQRT(1+$B$10^2))&gt;0,(($B$9 * (($A139+7)/100))+($B$10 * (($A139+7)/100)^2))/($B$9+2*(($A139+7)/100)*SQRT(1+$B$10^2)),0)^(2/3))*SQRT($B$16),0) * (($B$9 * (($A139+7)/100)) + (($B$10 * (($A139+7)/100)^2) * $B$19)))</f>
        <v/>
      </c>
      <c r="J139" s="12" t="str">
        <f>IF(($A139+8)&gt;$B$11, "", IF(IF(($B$9+2*(($A139+8)/100)*SQRT(1+$B$10^2))&gt;0,(($B$9 * (($A139+8)/100))+($B$10 * (($A139+8)/100)^2))/($B$9+2*(($A139+8)/100)*SQRT(1+$B$10^2)),0)&gt;0,(1/$B$17)*(IF(($B$9+2*(($A139+8)/100)*SQRT(1+$B$10^2))&gt;0,(($B$9 * (($A139+8)/100))+($B$10 * (($A139+8)/100)^2))/($B$9+2*(($A139+8)/100)*SQRT(1+$B$10^2)),0)^(2/3))*SQRT($B$16),0) * (($B$9 * (($A139+8)/100)) + (($B$10 * (($A139+8)/100)^2) * $B$19)))</f>
        <v/>
      </c>
      <c r="K139" s="12" t="str">
        <f>IF(($A139+9)&gt;$B$11, "", IF(IF(($B$9+2*(($A139+9)/100)*SQRT(1+$B$10^2))&gt;0,(($B$9 * (($A139+9)/100))+($B$10 * (($A139+9)/100)^2))/($B$9+2*(($A139+9)/100)*SQRT(1+$B$10^2)),0)&gt;0,(1/$B$17)*(IF(($B$9+2*(($A139+9)/100)*SQRT(1+$B$10^2))&gt;0,(($B$9 * (($A139+9)/100))+($B$10 * (($A139+9)/100)^2))/($B$9+2*(($A139+9)/100)*SQRT(1+$B$10^2)),0)^(2/3))*SQRT($B$16),0) * (($B$9 * (($A139+9)/100)) + (($B$10 * (($A139+9)/100)^2) * $B$19)))</f>
        <v/>
      </c>
    </row>
    <row r="140">
      <c r="A140" s="11">
        <v>500</v>
      </c>
      <c r="B140" s="12" t="str">
        <f>IF(($A140+0)&gt;$B$11, "", IF(IF(($B$9+2*(($A140+0)/100)*SQRT(1+$B$10^2))&gt;0,(($B$9 * (($A140+0)/100))+($B$10 * (($A140+0)/100)^2))/($B$9+2*(($A140+0)/100)*SQRT(1+$B$10^2)),0)&gt;0,(1/$B$17)*(IF(($B$9+2*(($A140+0)/100)*SQRT(1+$B$10^2))&gt;0,(($B$9 * (($A140+0)/100))+($B$10 * (($A140+0)/100)^2))/($B$9+2*(($A140+0)/100)*SQRT(1+$B$10^2)),0)^(2/3))*SQRT($B$16),0) * (($B$9 * (($A140+0)/100)) + (($B$10 * (($A140+0)/100)^2) * $B$19)))</f>
        <v/>
      </c>
      <c r="C140" s="12" t="str">
        <f>IF(($A140+1)&gt;$B$11, "", IF(IF(($B$9+2*(($A140+1)/100)*SQRT(1+$B$10^2))&gt;0,(($B$9 * (($A140+1)/100))+($B$10 * (($A140+1)/100)^2))/($B$9+2*(($A140+1)/100)*SQRT(1+$B$10^2)),0)&gt;0,(1/$B$17)*(IF(($B$9+2*(($A140+1)/100)*SQRT(1+$B$10^2))&gt;0,(($B$9 * (($A140+1)/100))+($B$10 * (($A140+1)/100)^2))/($B$9+2*(($A140+1)/100)*SQRT(1+$B$10^2)),0)^(2/3))*SQRT($B$16),0) * (($B$9 * (($A140+1)/100)) + (($B$10 * (($A140+1)/100)^2) * $B$19)))</f>
        <v/>
      </c>
      <c r="D140" s="12" t="str">
        <f>IF(($A140+2)&gt;$B$11, "", IF(IF(($B$9+2*(($A140+2)/100)*SQRT(1+$B$10^2))&gt;0,(($B$9 * (($A140+2)/100))+($B$10 * (($A140+2)/100)^2))/($B$9+2*(($A140+2)/100)*SQRT(1+$B$10^2)),0)&gt;0,(1/$B$17)*(IF(($B$9+2*(($A140+2)/100)*SQRT(1+$B$10^2))&gt;0,(($B$9 * (($A140+2)/100))+($B$10 * (($A140+2)/100)^2))/($B$9+2*(($A140+2)/100)*SQRT(1+$B$10^2)),0)^(2/3))*SQRT($B$16),0) * (($B$9 * (($A140+2)/100)) + (($B$10 * (($A140+2)/100)^2) * $B$19)))</f>
        <v/>
      </c>
      <c r="E140" s="12" t="str">
        <f>IF(($A140+3)&gt;$B$11, "", IF(IF(($B$9+2*(($A140+3)/100)*SQRT(1+$B$10^2))&gt;0,(($B$9 * (($A140+3)/100))+($B$10 * (($A140+3)/100)^2))/($B$9+2*(($A140+3)/100)*SQRT(1+$B$10^2)),0)&gt;0,(1/$B$17)*(IF(($B$9+2*(($A140+3)/100)*SQRT(1+$B$10^2))&gt;0,(($B$9 * (($A140+3)/100))+($B$10 * (($A140+3)/100)^2))/($B$9+2*(($A140+3)/100)*SQRT(1+$B$10^2)),0)^(2/3))*SQRT($B$16),0) * (($B$9 * (($A140+3)/100)) + (($B$10 * (($A140+3)/100)^2) * $B$19)))</f>
        <v/>
      </c>
      <c r="F140" s="12" t="str">
        <f>IF(($A140+4)&gt;$B$11, "", IF(IF(($B$9+2*(($A140+4)/100)*SQRT(1+$B$10^2))&gt;0,(($B$9 * (($A140+4)/100))+($B$10 * (($A140+4)/100)^2))/($B$9+2*(($A140+4)/100)*SQRT(1+$B$10^2)),0)&gt;0,(1/$B$17)*(IF(($B$9+2*(($A140+4)/100)*SQRT(1+$B$10^2))&gt;0,(($B$9 * (($A140+4)/100))+($B$10 * (($A140+4)/100)^2))/($B$9+2*(($A140+4)/100)*SQRT(1+$B$10^2)),0)^(2/3))*SQRT($B$16),0) * (($B$9 * (($A140+4)/100)) + (($B$10 * (($A140+4)/100)^2) * $B$19)))</f>
        <v/>
      </c>
      <c r="G140" s="12" t="str">
        <f>IF(($A140+5)&gt;$B$11, "", IF(IF(($B$9+2*(($A140+5)/100)*SQRT(1+$B$10^2))&gt;0,(($B$9 * (($A140+5)/100))+($B$10 * (($A140+5)/100)^2))/($B$9+2*(($A140+5)/100)*SQRT(1+$B$10^2)),0)&gt;0,(1/$B$17)*(IF(($B$9+2*(($A140+5)/100)*SQRT(1+$B$10^2))&gt;0,(($B$9 * (($A140+5)/100))+($B$10 * (($A140+5)/100)^2))/($B$9+2*(($A140+5)/100)*SQRT(1+$B$10^2)),0)^(2/3))*SQRT($B$16),0) * (($B$9 * (($A140+5)/100)) + (($B$10 * (($A140+5)/100)^2) * $B$19)))</f>
        <v/>
      </c>
      <c r="H140" s="12" t="str">
        <f>IF(($A140+6)&gt;$B$11, "", IF(IF(($B$9+2*(($A140+6)/100)*SQRT(1+$B$10^2))&gt;0,(($B$9 * (($A140+6)/100))+($B$10 * (($A140+6)/100)^2))/($B$9+2*(($A140+6)/100)*SQRT(1+$B$10^2)),0)&gt;0,(1/$B$17)*(IF(($B$9+2*(($A140+6)/100)*SQRT(1+$B$10^2))&gt;0,(($B$9 * (($A140+6)/100))+($B$10 * (($A140+6)/100)^2))/($B$9+2*(($A140+6)/100)*SQRT(1+$B$10^2)),0)^(2/3))*SQRT($B$16),0) * (($B$9 * (($A140+6)/100)) + (($B$10 * (($A140+6)/100)^2) * $B$19)))</f>
        <v/>
      </c>
      <c r="I140" s="12" t="str">
        <f>IF(($A140+7)&gt;$B$11, "", IF(IF(($B$9+2*(($A140+7)/100)*SQRT(1+$B$10^2))&gt;0,(($B$9 * (($A140+7)/100))+($B$10 * (($A140+7)/100)^2))/($B$9+2*(($A140+7)/100)*SQRT(1+$B$10^2)),0)&gt;0,(1/$B$17)*(IF(($B$9+2*(($A140+7)/100)*SQRT(1+$B$10^2))&gt;0,(($B$9 * (($A140+7)/100))+($B$10 * (($A140+7)/100)^2))/($B$9+2*(($A140+7)/100)*SQRT(1+$B$10^2)),0)^(2/3))*SQRT($B$16),0) * (($B$9 * (($A140+7)/100)) + (($B$10 * (($A140+7)/100)^2) * $B$19)))</f>
        <v/>
      </c>
      <c r="J140" s="12" t="str">
        <f>IF(($A140+8)&gt;$B$11, "", IF(IF(($B$9+2*(($A140+8)/100)*SQRT(1+$B$10^2))&gt;0,(($B$9 * (($A140+8)/100))+($B$10 * (($A140+8)/100)^2))/($B$9+2*(($A140+8)/100)*SQRT(1+$B$10^2)),0)&gt;0,(1/$B$17)*(IF(($B$9+2*(($A140+8)/100)*SQRT(1+$B$10^2))&gt;0,(($B$9 * (($A140+8)/100))+($B$10 * (($A140+8)/100)^2))/($B$9+2*(($A140+8)/100)*SQRT(1+$B$10^2)),0)^(2/3))*SQRT($B$16),0) * (($B$9 * (($A140+8)/100)) + (($B$10 * (($A140+8)/100)^2) * $B$19)))</f>
        <v/>
      </c>
      <c r="K140" s="12" t="str">
        <f>IF(($A140+9)&gt;$B$11, "", IF(IF(($B$9+2*(($A140+9)/100)*SQRT(1+$B$10^2))&gt;0,(($B$9 * (($A140+9)/100))+($B$10 * (($A140+9)/100)^2))/($B$9+2*(($A140+9)/100)*SQRT(1+$B$10^2)),0)&gt;0,(1/$B$17)*(IF(($B$9+2*(($A140+9)/100)*SQRT(1+$B$10^2))&gt;0,(($B$9 * (($A140+9)/100))+($B$10 * (($A140+9)/100)^2))/($B$9+2*(($A140+9)/100)*SQRT(1+$B$10^2)),0)^(2/3))*SQRT($B$16),0) * (($B$9 * (($A140+9)/100)) + (($B$10 * (($A140+9)/100)^2) * $B$19)))</f>
        <v/>
      </c>
    </row>
    <row r="142" ht="15">
      <c r="A142" s="10" t="s">
        <v>32</v>
      </c>
    </row>
    <row r="143">
      <c r="A143" s="8" t="s">
        <v>0</v>
      </c>
      <c r="B143" s="8">
        <v>0</v>
      </c>
      <c r="C143" s="8">
        <v>1</v>
      </c>
      <c r="D143" s="8">
        <v>2</v>
      </c>
      <c r="E143" s="8">
        <v>3</v>
      </c>
      <c r="F143" s="8">
        <v>4</v>
      </c>
      <c r="G143" s="8">
        <v>5</v>
      </c>
      <c r="H143" s="8">
        <v>6</v>
      </c>
      <c r="I143" s="8">
        <v>7</v>
      </c>
      <c r="J143" s="8">
        <v>8</v>
      </c>
      <c r="K143" s="8">
        <v>9</v>
      </c>
    </row>
    <row r="144">
      <c r="A144" s="11">
        <v>0</v>
      </c>
      <c r="B144" s="30">
        <f>IF(($A144+0)&gt;$B$11, "", IF(IF(($B$9+2*(($A144+0)/100)*SQRT(1+$B$10^2))&gt;0,(($B$9 * (($A144+0)/100))+($B$10 * (($A144+0)/100)^2))/($B$9+2*(($A144+0)/100)*SQRT(1+$B$10^2)),0)&gt;0,(1/$B$17)*(IF(($B$9+2*(($A144+0)/100)*SQRT(1+$B$10^2))&gt;0,(($B$9 * (($A144+0)/100))+($B$10 * (($A144+0)/100)^2))/($B$9+2*(($A144+0)/100)*SQRT(1+$B$10^2)),0)^(2/3))*SQRT($B$16),0))</f>
        <v>0</v>
      </c>
      <c r="C144" s="30">
        <f>IF(($A144+1)&gt;$B$11, "", IF(IF(($B$9+2*(($A144+1)/100)*SQRT(1+$B$10^2))&gt;0,(($B$9 * (($A144+1)/100))+($B$10 * (($A144+1)/100)^2))/($B$9+2*(($A144+1)/100)*SQRT(1+$B$10^2)),0)&gt;0,(1/$B$17)*(IF(($B$9+2*(($A144+1)/100)*SQRT(1+$B$10^2))&gt;0,(($B$9 * (($A144+1)/100))+($B$10 * (($A144+1)/100)^2))/($B$9+2*(($A144+1)/100)*SQRT(1+$B$10^2)),0)^(2/3))*SQRT($B$16),0))</f>
        <v>2.576042438968529E-2</v>
      </c>
      <c r="D144" s="30">
        <f>IF(($A144+2)&gt;$B$11, "", IF(IF(($B$9+2*(($A144+2)/100)*SQRT(1+$B$10^2))&gt;0,(($B$9 * (($A144+2)/100))+($B$10 * (($A144+2)/100)^2))/($B$9+2*(($A144+2)/100)*SQRT(1+$B$10^2)),0)&gt;0,(1/$B$17)*(IF(($B$9+2*(($A144+2)/100)*SQRT(1+$B$10^2))&gt;0,(($B$9 * (($A144+2)/100))+($B$10 * (($A144+2)/100)^2))/($B$9+2*(($A144+2)/100)*SQRT(1+$B$10^2)),0)^(2/3))*SQRT($B$16),0))</f>
        <v>4.084037514278509E-2</v>
      </c>
      <c r="E144" s="30">
        <f>IF(($A144+3)&gt;$B$11, "", IF(IF(($B$9+2*(($A144+3)/100)*SQRT(1+$B$10^2))&gt;0,(($B$9 * (($A144+3)/100))+($B$10 * (($A144+3)/100)^2))/($B$9+2*(($A144+3)/100)*SQRT(1+$B$10^2)),0)&gt;0,(1/$B$17)*(IF(($B$9+2*(($A144+3)/100)*SQRT(1+$B$10^2))&gt;0,(($B$9 * (($A144+3)/100))+($B$10 * (($A144+3)/100)^2))/($B$9+2*(($A144+3)/100)*SQRT(1+$B$10^2)),0)^(2/3))*SQRT($B$16),0))</f>
        <v>5.3448592024573784E-2</v>
      </c>
      <c r="F144" s="30">
        <f>IF(($A144+4)&gt;$B$11, "", IF(IF(($B$9+2*(($A144+4)/100)*SQRT(1+$B$10^2))&gt;0,(($B$9 * (($A144+4)/100))+($B$10 * (($A144+4)/100)^2))/($B$9+2*(($A144+4)/100)*SQRT(1+$B$10^2)),0)&gt;0,(1/$B$17)*(IF(($B$9+2*(($A144+4)/100)*SQRT(1+$B$10^2))&gt;0,(($B$9 * (($A144+4)/100))+($B$10 * (($A144+4)/100)^2))/($B$9+2*(($A144+4)/100)*SQRT(1+$B$10^2)),0)^(2/3))*SQRT($B$16),0))</f>
        <v>6.46671091575688E-2</v>
      </c>
      <c r="G144" s="30">
        <f>IF(($A144+5)&gt;$B$11, "", IF(IF(($B$9+2*(($A144+5)/100)*SQRT(1+$B$10^2))&gt;0,(($B$9 * (($A144+5)/100))+($B$10 * (($A144+5)/100)^2))/($B$9+2*(($A144+5)/100)*SQRT(1+$B$10^2)),0)&gt;0,(1/$B$17)*(IF(($B$9+2*(($A144+5)/100)*SQRT(1+$B$10^2))&gt;0,(($B$9 * (($A144+5)/100))+($B$10 * (($A144+5)/100)^2))/($B$9+2*(($A144+5)/100)*SQRT(1+$B$10^2)),0)^(2/3))*SQRT($B$16),0))</f>
        <v>7.494576656374848E-2</v>
      </c>
      <c r="H144" s="30">
        <f>IF(($A144+6)&gt;$B$11, "", IF(IF(($B$9+2*(($A144+6)/100)*SQRT(1+$B$10^2))&gt;0,(($B$9 * (($A144+6)/100))+($B$10 * (($A144+6)/100)^2))/($B$9+2*(($A144+6)/100)*SQRT(1+$B$10^2)),0)&gt;0,(1/$B$17)*(IF(($B$9+2*(($A144+6)/100)*SQRT(1+$B$10^2))&gt;0,(($B$9 * (($A144+6)/100))+($B$10 * (($A144+6)/100)^2))/($B$9+2*(($A144+6)/100)*SQRT(1+$B$10^2)),0)^(2/3))*SQRT($B$16),0))</f>
        <v>8.452669121170983E-2</v>
      </c>
      <c r="I144" s="30">
        <f>IF(($A144+7)&gt;$B$11, "", IF(IF(($B$9+2*(($A144+7)/100)*SQRT(1+$B$10^2))&gt;0,(($B$9 * (($A144+7)/100))+($B$10 * (($A144+7)/100)^2))/($B$9+2*(($A144+7)/100)*SQRT(1+$B$10^2)),0)&gt;0,(1/$B$17)*(IF(($B$9+2*(($A144+7)/100)*SQRT(1+$B$10^2))&gt;0,(($B$9 * (($A144+7)/100))+($B$10 * (($A144+7)/100)^2))/($B$9+2*(($A144+7)/100)*SQRT(1+$B$10^2)),0)^(2/3))*SQRT($B$16),0))</f>
        <v>9.355922031752906E-2</v>
      </c>
      <c r="J144" s="30">
        <f>IF(($A144+8)&gt;$B$11, "", IF(IF(($B$9+2*(($A144+8)/100)*SQRT(1+$B$10^2))&gt;0,(($B$9 * (($A144+8)/100))+($B$10 * (($A144+8)/100)^2))/($B$9+2*(($A144+8)/100)*SQRT(1+$B$10^2)),0)&gt;0,(1/$B$17)*(IF(($B$9+2*(($A144+8)/100)*SQRT(1+$B$10^2))&gt;0,(($B$9 * (($A144+8)/100))+($B$10 * (($A144+8)/100)^2))/($B$9+2*(($A144+8)/100)*SQRT(1+$B$10^2)),0)^(2/3))*SQRT($B$16),0))</f>
        <v>0.10214372109540466</v>
      </c>
      <c r="K144" s="30">
        <f>IF(($A144+9)&gt;$B$11, "", IF(IF(($B$9+2*(($A144+9)/100)*SQRT(1+$B$10^2))&gt;0,(($B$9 * (($A144+9)/100))+($B$10 * (($A144+9)/100)^2))/($B$9+2*(($A144+9)/100)*SQRT(1+$B$10^2)),0)&gt;0,(1/$B$17)*(IF(($B$9+2*(($A144+9)/100)*SQRT(1+$B$10^2))&gt;0,(($B$9 * (($A144+9)/100))+($B$10 * (($A144+9)/100)^2))/($B$9+2*(($A144+9)/100)*SQRT(1+$B$10^2)),0)^(2/3))*SQRT($B$16),0))</f>
        <v>0.11035178851100502</v>
      </c>
    </row>
    <row r="145">
      <c r="A145" s="11">
        <v>10</v>
      </c>
      <c r="B145" s="30">
        <f>IF(($A145+0)&gt;$B$11, "", IF(IF(($B$9+2*(($A145+0)/100)*SQRT(1+$B$10^2))&gt;0,(($B$9 * (($A145+0)/100))+($B$10 * (($A145+0)/100)^2))/($B$9+2*(($A145+0)/100)*SQRT(1+$B$10^2)),0)&gt;0,(1/$B$17)*(IF(($B$9+2*(($A145+0)/100)*SQRT(1+$B$10^2))&gt;0,(($B$9 * (($A145+0)/100))+($B$10 * (($A145+0)/100)^2))/($B$9+2*(($A145+0)/100)*SQRT(1+$B$10^2)),0)^(2/3))*SQRT($B$16),0))</f>
        <v>0.11823678466548557</v>
      </c>
      <c r="C145" s="30">
        <f>IF(($A145+1)&gt;$B$11, "", IF(IF(($B$9+2*(($A145+1)/100)*SQRT(1+$B$10^2))&gt;0,(($B$9 * (($A145+1)/100))+($B$10 * (($A145+1)/100)^2))/($B$9+2*(($A145+1)/100)*SQRT(1+$B$10^2)),0)&gt;0,(1/$B$17)*(IF(($B$9+2*(($A145+1)/100)*SQRT(1+$B$10^2))&gt;0,(($B$9 * (($A145+1)/100))+($B$10 * (($A145+1)/100)^2))/($B$9+2*(($A145+1)/100)*SQRT(1+$B$10^2)),0)^(2/3))*SQRT($B$16),0))</f>
        <v>0.12583984715058738</v>
      </c>
      <c r="D145" s="30">
        <f>IF(($A145+2)&gt;$B$11, "", IF(IF(($B$9+2*(($A145+2)/100)*SQRT(1+$B$10^2))&gt;0,(($B$9 * (($A145+2)/100))+($B$10 * (($A145+2)/100)^2))/($B$9+2*(($A145+2)/100)*SQRT(1+$B$10^2)),0)&gt;0,(1/$B$17)*(IF(($B$9+2*(($A145+2)/100)*SQRT(1+$B$10^2))&gt;0,(($B$9 * (($A145+2)/100))+($B$10 * (($A145+2)/100)^2))/($B$9+2*(($A145+2)/100)*SQRT(1+$B$10^2)),0)^(2/3))*SQRT($B$16),0))</f>
        <v>0.133193550467615</v>
      </c>
      <c r="E145" s="30">
        <f>IF(($A145+3)&gt;$B$11, "", IF(IF(($B$9+2*(($A145+3)/100)*SQRT(1+$B$10^2))&gt;0,(($B$9 * (($A145+3)/100))+($B$10 * (($A145+3)/100)^2))/($B$9+2*(($A145+3)/100)*SQRT(1+$B$10^2)),0)&gt;0,(1/$B$17)*(IF(($B$9+2*(($A145+3)/100)*SQRT(1+$B$10^2))&gt;0,(($B$9 * (($A145+3)/100))+($B$10 * (($A145+3)/100)^2))/($B$9+2*(($A145+3)/100)*SQRT(1+$B$10^2)),0)^(2/3))*SQRT($B$16),0))</f>
        <v>0.14032425681467134</v>
      </c>
      <c r="F145" s="30">
        <f>IF(($A145+4)&gt;$B$11, "", IF(IF(($B$9+2*(($A145+4)/100)*SQRT(1+$B$10^2))&gt;0,(($B$9 * (($A145+4)/100))+($B$10 * (($A145+4)/100)^2))/($B$9+2*(($A145+4)/100)*SQRT(1+$B$10^2)),0)&gt;0,(1/$B$17)*(IF(($B$9+2*(($A145+4)/100)*SQRT(1+$B$10^2))&gt;0,(($B$9 * (($A145+4)/100))+($B$10 * (($A145+4)/100)^2))/($B$9+2*(($A145+4)/100)*SQRT(1+$B$10^2)),0)^(2/3))*SQRT($B$16),0))</f>
        <v>0.14725369023042745</v>
      </c>
      <c r="G145" s="30">
        <f>IF(($A145+5)&gt;$B$11, "", IF(IF(($B$9+2*(($A145+5)/100)*SQRT(1+$B$10^2))&gt;0,(($B$9 * (($A145+5)/100))+($B$10 * (($A145+5)/100)^2))/($B$9+2*(($A145+5)/100)*SQRT(1+$B$10^2)),0)&gt;0,(1/$B$17)*(IF(($B$9+2*(($A145+5)/100)*SQRT(1+$B$10^2))&gt;0,(($B$9 * (($A145+5)/100))+($B$10 * (($A145+5)/100)^2))/($B$9+2*(($A145+5)/100)*SQRT(1+$B$10^2)),0)^(2/3))*SQRT($B$16),0))</f>
        <v>0.15400002785302197</v>
      </c>
      <c r="H145" s="30" t="str">
        <f>IF(($A145+6)&gt;$B$11, "", IF(IF(($B$9+2*(($A145+6)/100)*SQRT(1+$B$10^2))&gt;0,(($B$9 * (($A145+6)/100))+($B$10 * (($A145+6)/100)^2))/($B$9+2*(($A145+6)/100)*SQRT(1+$B$10^2)),0)&gt;0,(1/$B$17)*(IF(($B$9+2*(($A145+6)/100)*SQRT(1+$B$10^2))&gt;0,(($B$9 * (($A145+6)/100))+($B$10 * (($A145+6)/100)^2))/($B$9+2*(($A145+6)/100)*SQRT(1+$B$10^2)),0)^(2/3))*SQRT($B$16),0))</f>
        <v/>
      </c>
      <c r="I145" s="30" t="str">
        <f>IF(($A145+7)&gt;$B$11, "", IF(IF(($B$9+2*(($A145+7)/100)*SQRT(1+$B$10^2))&gt;0,(($B$9 * (($A145+7)/100))+($B$10 * (($A145+7)/100)^2))/($B$9+2*(($A145+7)/100)*SQRT(1+$B$10^2)),0)&gt;0,(1/$B$17)*(IF(($B$9+2*(($A145+7)/100)*SQRT(1+$B$10^2))&gt;0,(($B$9 * (($A145+7)/100))+($B$10 * (($A145+7)/100)^2))/($B$9+2*(($A145+7)/100)*SQRT(1+$B$10^2)),0)^(2/3))*SQRT($B$16),0))</f>
        <v/>
      </c>
      <c r="J145" s="30" t="str">
        <f>IF(($A145+8)&gt;$B$11, "", IF(IF(($B$9+2*(($A145+8)/100)*SQRT(1+$B$10^2))&gt;0,(($B$9 * (($A145+8)/100))+($B$10 * (($A145+8)/100)^2))/($B$9+2*(($A145+8)/100)*SQRT(1+$B$10^2)),0)&gt;0,(1/$B$17)*(IF(($B$9+2*(($A145+8)/100)*SQRT(1+$B$10^2))&gt;0,(($B$9 * (($A145+8)/100))+($B$10 * (($A145+8)/100)^2))/($B$9+2*(($A145+8)/100)*SQRT(1+$B$10^2)),0)^(2/3))*SQRT($B$16),0))</f>
        <v/>
      </c>
      <c r="K145" s="30" t="str">
        <f>IF(($A145+9)&gt;$B$11, "", IF(IF(($B$9+2*(($A145+9)/100)*SQRT(1+$B$10^2))&gt;0,(($B$9 * (($A145+9)/100))+($B$10 * (($A145+9)/100)^2))/($B$9+2*(($A145+9)/100)*SQRT(1+$B$10^2)),0)&gt;0,(1/$B$17)*(IF(($B$9+2*(($A145+9)/100)*SQRT(1+$B$10^2))&gt;0,(($B$9 * (($A145+9)/100))+($B$10 * (($A145+9)/100)^2))/($B$9+2*(($A145+9)/100)*SQRT(1+$B$10^2)),0)^(2/3))*SQRT($B$16),0))</f>
        <v/>
      </c>
    </row>
    <row r="146">
      <c r="A146" s="11">
        <v>20</v>
      </c>
      <c r="B146" s="30" t="str">
        <f>IF(($A146+0)&gt;$B$11, "", IF(IF(($B$9+2*(($A146+0)/100)*SQRT(1+$B$10^2))&gt;0,(($B$9 * (($A146+0)/100))+($B$10 * (($A146+0)/100)^2))/($B$9+2*(($A146+0)/100)*SQRT(1+$B$10^2)),0)&gt;0,(1/$B$17)*(IF(($B$9+2*(($A146+0)/100)*SQRT(1+$B$10^2))&gt;0,(($B$9 * (($A146+0)/100))+($B$10 * (($A146+0)/100)^2))/($B$9+2*(($A146+0)/100)*SQRT(1+$B$10^2)),0)^(2/3))*SQRT($B$16),0))</f>
        <v/>
      </c>
      <c r="C146" s="30" t="str">
        <f>IF(($A146+1)&gt;$B$11, "", IF(IF(($B$9+2*(($A146+1)/100)*SQRT(1+$B$10^2))&gt;0,(($B$9 * (($A146+1)/100))+($B$10 * (($A146+1)/100)^2))/($B$9+2*(($A146+1)/100)*SQRT(1+$B$10^2)),0)&gt;0,(1/$B$17)*(IF(($B$9+2*(($A146+1)/100)*SQRT(1+$B$10^2))&gt;0,(($B$9 * (($A146+1)/100))+($B$10 * (($A146+1)/100)^2))/($B$9+2*(($A146+1)/100)*SQRT(1+$B$10^2)),0)^(2/3))*SQRT($B$16),0))</f>
        <v/>
      </c>
      <c r="D146" s="30" t="str">
        <f>IF(($A146+2)&gt;$B$11, "", IF(IF(($B$9+2*(($A146+2)/100)*SQRT(1+$B$10^2))&gt;0,(($B$9 * (($A146+2)/100))+($B$10 * (($A146+2)/100)^2))/($B$9+2*(($A146+2)/100)*SQRT(1+$B$10^2)),0)&gt;0,(1/$B$17)*(IF(($B$9+2*(($A146+2)/100)*SQRT(1+$B$10^2))&gt;0,(($B$9 * (($A146+2)/100))+($B$10 * (($A146+2)/100)^2))/($B$9+2*(($A146+2)/100)*SQRT(1+$B$10^2)),0)^(2/3))*SQRT($B$16),0))</f>
        <v/>
      </c>
      <c r="E146" s="30" t="str">
        <f>IF(($A146+3)&gt;$B$11, "", IF(IF(($B$9+2*(($A146+3)/100)*SQRT(1+$B$10^2))&gt;0,(($B$9 * (($A146+3)/100))+($B$10 * (($A146+3)/100)^2))/($B$9+2*(($A146+3)/100)*SQRT(1+$B$10^2)),0)&gt;0,(1/$B$17)*(IF(($B$9+2*(($A146+3)/100)*SQRT(1+$B$10^2))&gt;0,(($B$9 * (($A146+3)/100))+($B$10 * (($A146+3)/100)^2))/($B$9+2*(($A146+3)/100)*SQRT(1+$B$10^2)),0)^(2/3))*SQRT($B$16),0))</f>
        <v/>
      </c>
      <c r="F146" s="30" t="str">
        <f>IF(($A146+4)&gt;$B$11, "", IF(IF(($B$9+2*(($A146+4)/100)*SQRT(1+$B$10^2))&gt;0,(($B$9 * (($A146+4)/100))+($B$10 * (($A146+4)/100)^2))/($B$9+2*(($A146+4)/100)*SQRT(1+$B$10^2)),0)&gt;0,(1/$B$17)*(IF(($B$9+2*(($A146+4)/100)*SQRT(1+$B$10^2))&gt;0,(($B$9 * (($A146+4)/100))+($B$10 * (($A146+4)/100)^2))/($B$9+2*(($A146+4)/100)*SQRT(1+$B$10^2)),0)^(2/3))*SQRT($B$16),0))</f>
        <v/>
      </c>
      <c r="G146" s="30" t="str">
        <f>IF(($A146+5)&gt;$B$11, "", IF(IF(($B$9+2*(($A146+5)/100)*SQRT(1+$B$10^2))&gt;0,(($B$9 * (($A146+5)/100))+($B$10 * (($A146+5)/100)^2))/($B$9+2*(($A146+5)/100)*SQRT(1+$B$10^2)),0)&gt;0,(1/$B$17)*(IF(($B$9+2*(($A146+5)/100)*SQRT(1+$B$10^2))&gt;0,(($B$9 * (($A146+5)/100))+($B$10 * (($A146+5)/100)^2))/($B$9+2*(($A146+5)/100)*SQRT(1+$B$10^2)),0)^(2/3))*SQRT($B$16),0))</f>
        <v/>
      </c>
      <c r="H146" s="30" t="str">
        <f>IF(($A146+6)&gt;$B$11, "", IF(IF(($B$9+2*(($A146+6)/100)*SQRT(1+$B$10^2))&gt;0,(($B$9 * (($A146+6)/100))+($B$10 * (($A146+6)/100)^2))/($B$9+2*(($A146+6)/100)*SQRT(1+$B$10^2)),0)&gt;0,(1/$B$17)*(IF(($B$9+2*(($A146+6)/100)*SQRT(1+$B$10^2))&gt;0,(($B$9 * (($A146+6)/100))+($B$10 * (($A146+6)/100)^2))/($B$9+2*(($A146+6)/100)*SQRT(1+$B$10^2)),0)^(2/3))*SQRT($B$16),0))</f>
        <v/>
      </c>
      <c r="I146" s="30" t="str">
        <f>IF(($A146+7)&gt;$B$11, "", IF(IF(($B$9+2*(($A146+7)/100)*SQRT(1+$B$10^2))&gt;0,(($B$9 * (($A146+7)/100))+($B$10 * (($A146+7)/100)^2))/($B$9+2*(($A146+7)/100)*SQRT(1+$B$10^2)),0)&gt;0,(1/$B$17)*(IF(($B$9+2*(($A146+7)/100)*SQRT(1+$B$10^2))&gt;0,(($B$9 * (($A146+7)/100))+($B$10 * (($A146+7)/100)^2))/($B$9+2*(($A146+7)/100)*SQRT(1+$B$10^2)),0)^(2/3))*SQRT($B$16),0))</f>
        <v/>
      </c>
      <c r="J146" s="30" t="str">
        <f>IF(($A146+8)&gt;$B$11, "", IF(IF(($B$9+2*(($A146+8)/100)*SQRT(1+$B$10^2))&gt;0,(($B$9 * (($A146+8)/100))+($B$10 * (($A146+8)/100)^2))/($B$9+2*(($A146+8)/100)*SQRT(1+$B$10^2)),0)&gt;0,(1/$B$17)*(IF(($B$9+2*(($A146+8)/100)*SQRT(1+$B$10^2))&gt;0,(($B$9 * (($A146+8)/100))+($B$10 * (($A146+8)/100)^2))/($B$9+2*(($A146+8)/100)*SQRT(1+$B$10^2)),0)^(2/3))*SQRT($B$16),0))</f>
        <v/>
      </c>
      <c r="K146" s="30" t="str">
        <f>IF(($A146+9)&gt;$B$11, "", IF(IF(($B$9+2*(($A146+9)/100)*SQRT(1+$B$10^2))&gt;0,(($B$9 * (($A146+9)/100))+($B$10 * (($A146+9)/100)^2))/($B$9+2*(($A146+9)/100)*SQRT(1+$B$10^2)),0)&gt;0,(1/$B$17)*(IF(($B$9+2*(($A146+9)/100)*SQRT(1+$B$10^2))&gt;0,(($B$9 * (($A146+9)/100))+($B$10 * (($A146+9)/100)^2))/($B$9+2*(($A146+9)/100)*SQRT(1+$B$10^2)),0)^(2/3))*SQRT($B$16),0))</f>
        <v/>
      </c>
    </row>
    <row r="147">
      <c r="A147" s="11">
        <v>30</v>
      </c>
      <c r="B147" s="30" t="str">
        <f>IF(($A147+0)&gt;$B$11, "", IF(IF(($B$9+2*(($A147+0)/100)*SQRT(1+$B$10^2))&gt;0,(($B$9 * (($A147+0)/100))+($B$10 * (($A147+0)/100)^2))/($B$9+2*(($A147+0)/100)*SQRT(1+$B$10^2)),0)&gt;0,(1/$B$17)*(IF(($B$9+2*(($A147+0)/100)*SQRT(1+$B$10^2))&gt;0,(($B$9 * (($A147+0)/100))+($B$10 * (($A147+0)/100)^2))/($B$9+2*(($A147+0)/100)*SQRT(1+$B$10^2)),0)^(2/3))*SQRT($B$16),0))</f>
        <v/>
      </c>
      <c r="C147" s="30" t="str">
        <f>IF(($A147+1)&gt;$B$11, "", IF(IF(($B$9+2*(($A147+1)/100)*SQRT(1+$B$10^2))&gt;0,(($B$9 * (($A147+1)/100))+($B$10 * (($A147+1)/100)^2))/($B$9+2*(($A147+1)/100)*SQRT(1+$B$10^2)),0)&gt;0,(1/$B$17)*(IF(($B$9+2*(($A147+1)/100)*SQRT(1+$B$10^2))&gt;0,(($B$9 * (($A147+1)/100))+($B$10 * (($A147+1)/100)^2))/($B$9+2*(($A147+1)/100)*SQRT(1+$B$10^2)),0)^(2/3))*SQRT($B$16),0))</f>
        <v/>
      </c>
      <c r="D147" s="30" t="str">
        <f>IF(($A147+2)&gt;$B$11, "", IF(IF(($B$9+2*(($A147+2)/100)*SQRT(1+$B$10^2))&gt;0,(($B$9 * (($A147+2)/100))+($B$10 * (($A147+2)/100)^2))/($B$9+2*(($A147+2)/100)*SQRT(1+$B$10^2)),0)&gt;0,(1/$B$17)*(IF(($B$9+2*(($A147+2)/100)*SQRT(1+$B$10^2))&gt;0,(($B$9 * (($A147+2)/100))+($B$10 * (($A147+2)/100)^2))/($B$9+2*(($A147+2)/100)*SQRT(1+$B$10^2)),0)^(2/3))*SQRT($B$16),0))</f>
        <v/>
      </c>
      <c r="E147" s="30" t="str">
        <f>IF(($A147+3)&gt;$B$11, "", IF(IF(($B$9+2*(($A147+3)/100)*SQRT(1+$B$10^2))&gt;0,(($B$9 * (($A147+3)/100))+($B$10 * (($A147+3)/100)^2))/($B$9+2*(($A147+3)/100)*SQRT(1+$B$10^2)),0)&gt;0,(1/$B$17)*(IF(($B$9+2*(($A147+3)/100)*SQRT(1+$B$10^2))&gt;0,(($B$9 * (($A147+3)/100))+($B$10 * (($A147+3)/100)^2))/($B$9+2*(($A147+3)/100)*SQRT(1+$B$10^2)),0)^(2/3))*SQRT($B$16),0))</f>
        <v/>
      </c>
      <c r="F147" s="30" t="str">
        <f>IF(($A147+4)&gt;$B$11, "", IF(IF(($B$9+2*(($A147+4)/100)*SQRT(1+$B$10^2))&gt;0,(($B$9 * (($A147+4)/100))+($B$10 * (($A147+4)/100)^2))/($B$9+2*(($A147+4)/100)*SQRT(1+$B$10^2)),0)&gt;0,(1/$B$17)*(IF(($B$9+2*(($A147+4)/100)*SQRT(1+$B$10^2))&gt;0,(($B$9 * (($A147+4)/100))+($B$10 * (($A147+4)/100)^2))/($B$9+2*(($A147+4)/100)*SQRT(1+$B$10^2)),0)^(2/3))*SQRT($B$16),0))</f>
        <v/>
      </c>
      <c r="G147" s="30" t="str">
        <f>IF(($A147+5)&gt;$B$11, "", IF(IF(($B$9+2*(($A147+5)/100)*SQRT(1+$B$10^2))&gt;0,(($B$9 * (($A147+5)/100))+($B$10 * (($A147+5)/100)^2))/($B$9+2*(($A147+5)/100)*SQRT(1+$B$10^2)),0)&gt;0,(1/$B$17)*(IF(($B$9+2*(($A147+5)/100)*SQRT(1+$B$10^2))&gt;0,(($B$9 * (($A147+5)/100))+($B$10 * (($A147+5)/100)^2))/($B$9+2*(($A147+5)/100)*SQRT(1+$B$10^2)),0)^(2/3))*SQRT($B$16),0))</f>
        <v/>
      </c>
      <c r="H147" s="30" t="str">
        <f>IF(($A147+6)&gt;$B$11, "", IF(IF(($B$9+2*(($A147+6)/100)*SQRT(1+$B$10^2))&gt;0,(($B$9 * (($A147+6)/100))+($B$10 * (($A147+6)/100)^2))/($B$9+2*(($A147+6)/100)*SQRT(1+$B$10^2)),0)&gt;0,(1/$B$17)*(IF(($B$9+2*(($A147+6)/100)*SQRT(1+$B$10^2))&gt;0,(($B$9 * (($A147+6)/100))+($B$10 * (($A147+6)/100)^2))/($B$9+2*(($A147+6)/100)*SQRT(1+$B$10^2)),0)^(2/3))*SQRT($B$16),0))</f>
        <v/>
      </c>
      <c r="I147" s="30" t="str">
        <f>IF(($A147+7)&gt;$B$11, "", IF(IF(($B$9+2*(($A147+7)/100)*SQRT(1+$B$10^2))&gt;0,(($B$9 * (($A147+7)/100))+($B$10 * (($A147+7)/100)^2))/($B$9+2*(($A147+7)/100)*SQRT(1+$B$10^2)),0)&gt;0,(1/$B$17)*(IF(($B$9+2*(($A147+7)/100)*SQRT(1+$B$10^2))&gt;0,(($B$9 * (($A147+7)/100))+($B$10 * (($A147+7)/100)^2))/($B$9+2*(($A147+7)/100)*SQRT(1+$B$10^2)),0)^(2/3))*SQRT($B$16),0))</f>
        <v/>
      </c>
      <c r="J147" s="30" t="str">
        <f>IF(($A147+8)&gt;$B$11, "", IF(IF(($B$9+2*(($A147+8)/100)*SQRT(1+$B$10^2))&gt;0,(($B$9 * (($A147+8)/100))+($B$10 * (($A147+8)/100)^2))/($B$9+2*(($A147+8)/100)*SQRT(1+$B$10^2)),0)&gt;0,(1/$B$17)*(IF(($B$9+2*(($A147+8)/100)*SQRT(1+$B$10^2))&gt;0,(($B$9 * (($A147+8)/100))+($B$10 * (($A147+8)/100)^2))/($B$9+2*(($A147+8)/100)*SQRT(1+$B$10^2)),0)^(2/3))*SQRT($B$16),0))</f>
        <v/>
      </c>
      <c r="K147" s="30" t="str">
        <f>IF(($A147+9)&gt;$B$11, "", IF(IF(($B$9+2*(($A147+9)/100)*SQRT(1+$B$10^2))&gt;0,(($B$9 * (($A147+9)/100))+($B$10 * (($A147+9)/100)^2))/($B$9+2*(($A147+9)/100)*SQRT(1+$B$10^2)),0)&gt;0,(1/$B$17)*(IF(($B$9+2*(($A147+9)/100)*SQRT(1+$B$10^2))&gt;0,(($B$9 * (($A147+9)/100))+($B$10 * (($A147+9)/100)^2))/($B$9+2*(($A147+9)/100)*SQRT(1+$B$10^2)),0)^(2/3))*SQRT($B$16),0))</f>
        <v/>
      </c>
    </row>
    <row r="148">
      <c r="A148" s="11">
        <v>40</v>
      </c>
      <c r="B148" s="30" t="str">
        <f>IF(($A148+0)&gt;$B$11, "", IF(IF(($B$9+2*(($A148+0)/100)*SQRT(1+$B$10^2))&gt;0,(($B$9 * (($A148+0)/100))+($B$10 * (($A148+0)/100)^2))/($B$9+2*(($A148+0)/100)*SQRT(1+$B$10^2)),0)&gt;0,(1/$B$17)*(IF(($B$9+2*(($A148+0)/100)*SQRT(1+$B$10^2))&gt;0,(($B$9 * (($A148+0)/100))+($B$10 * (($A148+0)/100)^2))/($B$9+2*(($A148+0)/100)*SQRT(1+$B$10^2)),0)^(2/3))*SQRT($B$16),0))</f>
        <v/>
      </c>
      <c r="C148" s="30" t="str">
        <f>IF(($A148+1)&gt;$B$11, "", IF(IF(($B$9+2*(($A148+1)/100)*SQRT(1+$B$10^2))&gt;0,(($B$9 * (($A148+1)/100))+($B$10 * (($A148+1)/100)^2))/($B$9+2*(($A148+1)/100)*SQRT(1+$B$10^2)),0)&gt;0,(1/$B$17)*(IF(($B$9+2*(($A148+1)/100)*SQRT(1+$B$10^2))&gt;0,(($B$9 * (($A148+1)/100))+($B$10 * (($A148+1)/100)^2))/($B$9+2*(($A148+1)/100)*SQRT(1+$B$10^2)),0)^(2/3))*SQRT($B$16),0))</f>
        <v/>
      </c>
      <c r="D148" s="30" t="str">
        <f>IF(($A148+2)&gt;$B$11, "", IF(IF(($B$9+2*(($A148+2)/100)*SQRT(1+$B$10^2))&gt;0,(($B$9 * (($A148+2)/100))+($B$10 * (($A148+2)/100)^2))/($B$9+2*(($A148+2)/100)*SQRT(1+$B$10^2)),0)&gt;0,(1/$B$17)*(IF(($B$9+2*(($A148+2)/100)*SQRT(1+$B$10^2))&gt;0,(($B$9 * (($A148+2)/100))+($B$10 * (($A148+2)/100)^2))/($B$9+2*(($A148+2)/100)*SQRT(1+$B$10^2)),0)^(2/3))*SQRT($B$16),0))</f>
        <v/>
      </c>
      <c r="E148" s="30" t="str">
        <f>IF(($A148+3)&gt;$B$11, "", IF(IF(($B$9+2*(($A148+3)/100)*SQRT(1+$B$10^2))&gt;0,(($B$9 * (($A148+3)/100))+($B$10 * (($A148+3)/100)^2))/($B$9+2*(($A148+3)/100)*SQRT(1+$B$10^2)),0)&gt;0,(1/$B$17)*(IF(($B$9+2*(($A148+3)/100)*SQRT(1+$B$10^2))&gt;0,(($B$9 * (($A148+3)/100))+($B$10 * (($A148+3)/100)^2))/($B$9+2*(($A148+3)/100)*SQRT(1+$B$10^2)),0)^(2/3))*SQRT($B$16),0))</f>
        <v/>
      </c>
      <c r="F148" s="30" t="str">
        <f>IF(($A148+4)&gt;$B$11, "", IF(IF(($B$9+2*(($A148+4)/100)*SQRT(1+$B$10^2))&gt;0,(($B$9 * (($A148+4)/100))+($B$10 * (($A148+4)/100)^2))/($B$9+2*(($A148+4)/100)*SQRT(1+$B$10^2)),0)&gt;0,(1/$B$17)*(IF(($B$9+2*(($A148+4)/100)*SQRT(1+$B$10^2))&gt;0,(($B$9 * (($A148+4)/100))+($B$10 * (($A148+4)/100)^2))/($B$9+2*(($A148+4)/100)*SQRT(1+$B$10^2)),0)^(2/3))*SQRT($B$16),0))</f>
        <v/>
      </c>
      <c r="G148" s="30" t="str">
        <f>IF(($A148+5)&gt;$B$11, "", IF(IF(($B$9+2*(($A148+5)/100)*SQRT(1+$B$10^2))&gt;0,(($B$9 * (($A148+5)/100))+($B$10 * (($A148+5)/100)^2))/($B$9+2*(($A148+5)/100)*SQRT(1+$B$10^2)),0)&gt;0,(1/$B$17)*(IF(($B$9+2*(($A148+5)/100)*SQRT(1+$B$10^2))&gt;0,(($B$9 * (($A148+5)/100))+($B$10 * (($A148+5)/100)^2))/($B$9+2*(($A148+5)/100)*SQRT(1+$B$10^2)),0)^(2/3))*SQRT($B$16),0))</f>
        <v/>
      </c>
      <c r="H148" s="30" t="str">
        <f>IF(($A148+6)&gt;$B$11, "", IF(IF(($B$9+2*(($A148+6)/100)*SQRT(1+$B$10^2))&gt;0,(($B$9 * (($A148+6)/100))+($B$10 * (($A148+6)/100)^2))/($B$9+2*(($A148+6)/100)*SQRT(1+$B$10^2)),0)&gt;0,(1/$B$17)*(IF(($B$9+2*(($A148+6)/100)*SQRT(1+$B$10^2))&gt;0,(($B$9 * (($A148+6)/100))+($B$10 * (($A148+6)/100)^2))/($B$9+2*(($A148+6)/100)*SQRT(1+$B$10^2)),0)^(2/3))*SQRT($B$16),0))</f>
        <v/>
      </c>
      <c r="I148" s="30" t="str">
        <f>IF(($A148+7)&gt;$B$11, "", IF(IF(($B$9+2*(($A148+7)/100)*SQRT(1+$B$10^2))&gt;0,(($B$9 * (($A148+7)/100))+($B$10 * (($A148+7)/100)^2))/($B$9+2*(($A148+7)/100)*SQRT(1+$B$10^2)),0)&gt;0,(1/$B$17)*(IF(($B$9+2*(($A148+7)/100)*SQRT(1+$B$10^2))&gt;0,(($B$9 * (($A148+7)/100))+($B$10 * (($A148+7)/100)^2))/($B$9+2*(($A148+7)/100)*SQRT(1+$B$10^2)),0)^(2/3))*SQRT($B$16),0))</f>
        <v/>
      </c>
      <c r="J148" s="30" t="str">
        <f>IF(($A148+8)&gt;$B$11, "", IF(IF(($B$9+2*(($A148+8)/100)*SQRT(1+$B$10^2))&gt;0,(($B$9 * (($A148+8)/100))+($B$10 * (($A148+8)/100)^2))/($B$9+2*(($A148+8)/100)*SQRT(1+$B$10^2)),0)&gt;0,(1/$B$17)*(IF(($B$9+2*(($A148+8)/100)*SQRT(1+$B$10^2))&gt;0,(($B$9 * (($A148+8)/100))+($B$10 * (($A148+8)/100)^2))/($B$9+2*(($A148+8)/100)*SQRT(1+$B$10^2)),0)^(2/3))*SQRT($B$16),0))</f>
        <v/>
      </c>
      <c r="K148" s="30" t="str">
        <f>IF(($A148+9)&gt;$B$11, "", IF(IF(($B$9+2*(($A148+9)/100)*SQRT(1+$B$10^2))&gt;0,(($B$9 * (($A148+9)/100))+($B$10 * (($A148+9)/100)^2))/($B$9+2*(($A148+9)/100)*SQRT(1+$B$10^2)),0)&gt;0,(1/$B$17)*(IF(($B$9+2*(($A148+9)/100)*SQRT(1+$B$10^2))&gt;0,(($B$9 * (($A148+9)/100))+($B$10 * (($A148+9)/100)^2))/($B$9+2*(($A148+9)/100)*SQRT(1+$B$10^2)),0)^(2/3))*SQRT($B$16),0))</f>
        <v/>
      </c>
    </row>
    <row r="149">
      <c r="A149" s="11">
        <v>50</v>
      </c>
      <c r="B149" s="30" t="str">
        <f>IF(($A149+0)&gt;$B$11, "", IF(IF(($B$9+2*(($A149+0)/100)*SQRT(1+$B$10^2))&gt;0,(($B$9 * (($A149+0)/100))+($B$10 * (($A149+0)/100)^2))/($B$9+2*(($A149+0)/100)*SQRT(1+$B$10^2)),0)&gt;0,(1/$B$17)*(IF(($B$9+2*(($A149+0)/100)*SQRT(1+$B$10^2))&gt;0,(($B$9 * (($A149+0)/100))+($B$10 * (($A149+0)/100)^2))/($B$9+2*(($A149+0)/100)*SQRT(1+$B$10^2)),0)^(2/3))*SQRT($B$16),0))</f>
        <v/>
      </c>
      <c r="C149" s="30" t="str">
        <f>IF(($A149+1)&gt;$B$11, "", IF(IF(($B$9+2*(($A149+1)/100)*SQRT(1+$B$10^2))&gt;0,(($B$9 * (($A149+1)/100))+($B$10 * (($A149+1)/100)^2))/($B$9+2*(($A149+1)/100)*SQRT(1+$B$10^2)),0)&gt;0,(1/$B$17)*(IF(($B$9+2*(($A149+1)/100)*SQRT(1+$B$10^2))&gt;0,(($B$9 * (($A149+1)/100))+($B$10 * (($A149+1)/100)^2))/($B$9+2*(($A149+1)/100)*SQRT(1+$B$10^2)),0)^(2/3))*SQRT($B$16),0))</f>
        <v/>
      </c>
      <c r="D149" s="30" t="str">
        <f>IF(($A149+2)&gt;$B$11, "", IF(IF(($B$9+2*(($A149+2)/100)*SQRT(1+$B$10^2))&gt;0,(($B$9 * (($A149+2)/100))+($B$10 * (($A149+2)/100)^2))/($B$9+2*(($A149+2)/100)*SQRT(1+$B$10^2)),0)&gt;0,(1/$B$17)*(IF(($B$9+2*(($A149+2)/100)*SQRT(1+$B$10^2))&gt;0,(($B$9 * (($A149+2)/100))+($B$10 * (($A149+2)/100)^2))/($B$9+2*(($A149+2)/100)*SQRT(1+$B$10^2)),0)^(2/3))*SQRT($B$16),0))</f>
        <v/>
      </c>
      <c r="E149" s="30" t="str">
        <f>IF(($A149+3)&gt;$B$11, "", IF(IF(($B$9+2*(($A149+3)/100)*SQRT(1+$B$10^2))&gt;0,(($B$9 * (($A149+3)/100))+($B$10 * (($A149+3)/100)^2))/($B$9+2*(($A149+3)/100)*SQRT(1+$B$10^2)),0)&gt;0,(1/$B$17)*(IF(($B$9+2*(($A149+3)/100)*SQRT(1+$B$10^2))&gt;0,(($B$9 * (($A149+3)/100))+($B$10 * (($A149+3)/100)^2))/($B$9+2*(($A149+3)/100)*SQRT(1+$B$10^2)),0)^(2/3))*SQRT($B$16),0))</f>
        <v/>
      </c>
      <c r="F149" s="30" t="str">
        <f>IF(($A149+4)&gt;$B$11, "", IF(IF(($B$9+2*(($A149+4)/100)*SQRT(1+$B$10^2))&gt;0,(($B$9 * (($A149+4)/100))+($B$10 * (($A149+4)/100)^2))/($B$9+2*(($A149+4)/100)*SQRT(1+$B$10^2)),0)&gt;0,(1/$B$17)*(IF(($B$9+2*(($A149+4)/100)*SQRT(1+$B$10^2))&gt;0,(($B$9 * (($A149+4)/100))+($B$10 * (($A149+4)/100)^2))/($B$9+2*(($A149+4)/100)*SQRT(1+$B$10^2)),0)^(2/3))*SQRT($B$16),0))</f>
        <v/>
      </c>
      <c r="G149" s="30" t="str">
        <f>IF(($A149+5)&gt;$B$11, "", IF(IF(($B$9+2*(($A149+5)/100)*SQRT(1+$B$10^2))&gt;0,(($B$9 * (($A149+5)/100))+($B$10 * (($A149+5)/100)^2))/($B$9+2*(($A149+5)/100)*SQRT(1+$B$10^2)),0)&gt;0,(1/$B$17)*(IF(($B$9+2*(($A149+5)/100)*SQRT(1+$B$10^2))&gt;0,(($B$9 * (($A149+5)/100))+($B$10 * (($A149+5)/100)^2))/($B$9+2*(($A149+5)/100)*SQRT(1+$B$10^2)),0)^(2/3))*SQRT($B$16),0))</f>
        <v/>
      </c>
      <c r="H149" s="30" t="str">
        <f>IF(($A149+6)&gt;$B$11, "", IF(IF(($B$9+2*(($A149+6)/100)*SQRT(1+$B$10^2))&gt;0,(($B$9 * (($A149+6)/100))+($B$10 * (($A149+6)/100)^2))/($B$9+2*(($A149+6)/100)*SQRT(1+$B$10^2)),0)&gt;0,(1/$B$17)*(IF(($B$9+2*(($A149+6)/100)*SQRT(1+$B$10^2))&gt;0,(($B$9 * (($A149+6)/100))+($B$10 * (($A149+6)/100)^2))/($B$9+2*(($A149+6)/100)*SQRT(1+$B$10^2)),0)^(2/3))*SQRT($B$16),0))</f>
        <v/>
      </c>
      <c r="I149" s="30" t="str">
        <f>IF(($A149+7)&gt;$B$11, "", IF(IF(($B$9+2*(($A149+7)/100)*SQRT(1+$B$10^2))&gt;0,(($B$9 * (($A149+7)/100))+($B$10 * (($A149+7)/100)^2))/($B$9+2*(($A149+7)/100)*SQRT(1+$B$10^2)),0)&gt;0,(1/$B$17)*(IF(($B$9+2*(($A149+7)/100)*SQRT(1+$B$10^2))&gt;0,(($B$9 * (($A149+7)/100))+($B$10 * (($A149+7)/100)^2))/($B$9+2*(($A149+7)/100)*SQRT(1+$B$10^2)),0)^(2/3))*SQRT($B$16),0))</f>
        <v/>
      </c>
      <c r="J149" s="30" t="str">
        <f>IF(($A149+8)&gt;$B$11, "", IF(IF(($B$9+2*(($A149+8)/100)*SQRT(1+$B$10^2))&gt;0,(($B$9 * (($A149+8)/100))+($B$10 * (($A149+8)/100)^2))/($B$9+2*(($A149+8)/100)*SQRT(1+$B$10^2)),0)&gt;0,(1/$B$17)*(IF(($B$9+2*(($A149+8)/100)*SQRT(1+$B$10^2))&gt;0,(($B$9 * (($A149+8)/100))+($B$10 * (($A149+8)/100)^2))/($B$9+2*(($A149+8)/100)*SQRT(1+$B$10^2)),0)^(2/3))*SQRT($B$16),0))</f>
        <v/>
      </c>
      <c r="K149" s="30" t="str">
        <f>IF(($A149+9)&gt;$B$11, "", IF(IF(($B$9+2*(($A149+9)/100)*SQRT(1+$B$10^2))&gt;0,(($B$9 * (($A149+9)/100))+($B$10 * (($A149+9)/100)^2))/($B$9+2*(($A149+9)/100)*SQRT(1+$B$10^2)),0)&gt;0,(1/$B$17)*(IF(($B$9+2*(($A149+9)/100)*SQRT(1+$B$10^2))&gt;0,(($B$9 * (($A149+9)/100))+($B$10 * (($A149+9)/100)^2))/($B$9+2*(($A149+9)/100)*SQRT(1+$B$10^2)),0)^(2/3))*SQRT($B$16),0))</f>
        <v/>
      </c>
    </row>
    <row r="150">
      <c r="A150" s="11">
        <v>60</v>
      </c>
      <c r="B150" s="30" t="str">
        <f>IF(($A150+0)&gt;$B$11, "", IF(IF(($B$9+2*(($A150+0)/100)*SQRT(1+$B$10^2))&gt;0,(($B$9 * (($A150+0)/100))+($B$10 * (($A150+0)/100)^2))/($B$9+2*(($A150+0)/100)*SQRT(1+$B$10^2)),0)&gt;0,(1/$B$17)*(IF(($B$9+2*(($A150+0)/100)*SQRT(1+$B$10^2))&gt;0,(($B$9 * (($A150+0)/100))+($B$10 * (($A150+0)/100)^2))/($B$9+2*(($A150+0)/100)*SQRT(1+$B$10^2)),0)^(2/3))*SQRT($B$16),0))</f>
        <v/>
      </c>
      <c r="C150" s="30" t="str">
        <f>IF(($A150+1)&gt;$B$11, "", IF(IF(($B$9+2*(($A150+1)/100)*SQRT(1+$B$10^2))&gt;0,(($B$9 * (($A150+1)/100))+($B$10 * (($A150+1)/100)^2))/($B$9+2*(($A150+1)/100)*SQRT(1+$B$10^2)),0)&gt;0,(1/$B$17)*(IF(($B$9+2*(($A150+1)/100)*SQRT(1+$B$10^2))&gt;0,(($B$9 * (($A150+1)/100))+($B$10 * (($A150+1)/100)^2))/($B$9+2*(($A150+1)/100)*SQRT(1+$B$10^2)),0)^(2/3))*SQRT($B$16),0))</f>
        <v/>
      </c>
      <c r="D150" s="30" t="str">
        <f>IF(($A150+2)&gt;$B$11, "", IF(IF(($B$9+2*(($A150+2)/100)*SQRT(1+$B$10^2))&gt;0,(($B$9 * (($A150+2)/100))+($B$10 * (($A150+2)/100)^2))/($B$9+2*(($A150+2)/100)*SQRT(1+$B$10^2)),0)&gt;0,(1/$B$17)*(IF(($B$9+2*(($A150+2)/100)*SQRT(1+$B$10^2))&gt;0,(($B$9 * (($A150+2)/100))+($B$10 * (($A150+2)/100)^2))/($B$9+2*(($A150+2)/100)*SQRT(1+$B$10^2)),0)^(2/3))*SQRT($B$16),0))</f>
        <v/>
      </c>
      <c r="E150" s="30" t="str">
        <f>IF(($A150+3)&gt;$B$11, "", IF(IF(($B$9+2*(($A150+3)/100)*SQRT(1+$B$10^2))&gt;0,(($B$9 * (($A150+3)/100))+($B$10 * (($A150+3)/100)^2))/($B$9+2*(($A150+3)/100)*SQRT(1+$B$10^2)),0)&gt;0,(1/$B$17)*(IF(($B$9+2*(($A150+3)/100)*SQRT(1+$B$10^2))&gt;0,(($B$9 * (($A150+3)/100))+($B$10 * (($A150+3)/100)^2))/($B$9+2*(($A150+3)/100)*SQRT(1+$B$10^2)),0)^(2/3))*SQRT($B$16),0))</f>
        <v/>
      </c>
      <c r="F150" s="30" t="str">
        <f>IF(($A150+4)&gt;$B$11, "", IF(IF(($B$9+2*(($A150+4)/100)*SQRT(1+$B$10^2))&gt;0,(($B$9 * (($A150+4)/100))+($B$10 * (($A150+4)/100)^2))/($B$9+2*(($A150+4)/100)*SQRT(1+$B$10^2)),0)&gt;0,(1/$B$17)*(IF(($B$9+2*(($A150+4)/100)*SQRT(1+$B$10^2))&gt;0,(($B$9 * (($A150+4)/100))+($B$10 * (($A150+4)/100)^2))/($B$9+2*(($A150+4)/100)*SQRT(1+$B$10^2)),0)^(2/3))*SQRT($B$16),0))</f>
        <v/>
      </c>
      <c r="G150" s="30" t="str">
        <f>IF(($A150+5)&gt;$B$11, "", IF(IF(($B$9+2*(($A150+5)/100)*SQRT(1+$B$10^2))&gt;0,(($B$9 * (($A150+5)/100))+($B$10 * (($A150+5)/100)^2))/($B$9+2*(($A150+5)/100)*SQRT(1+$B$10^2)),0)&gt;0,(1/$B$17)*(IF(($B$9+2*(($A150+5)/100)*SQRT(1+$B$10^2))&gt;0,(($B$9 * (($A150+5)/100))+($B$10 * (($A150+5)/100)^2))/($B$9+2*(($A150+5)/100)*SQRT(1+$B$10^2)),0)^(2/3))*SQRT($B$16),0))</f>
        <v/>
      </c>
      <c r="H150" s="30" t="str">
        <f>IF(($A150+6)&gt;$B$11, "", IF(IF(($B$9+2*(($A150+6)/100)*SQRT(1+$B$10^2))&gt;0,(($B$9 * (($A150+6)/100))+($B$10 * (($A150+6)/100)^2))/($B$9+2*(($A150+6)/100)*SQRT(1+$B$10^2)),0)&gt;0,(1/$B$17)*(IF(($B$9+2*(($A150+6)/100)*SQRT(1+$B$10^2))&gt;0,(($B$9 * (($A150+6)/100))+($B$10 * (($A150+6)/100)^2))/($B$9+2*(($A150+6)/100)*SQRT(1+$B$10^2)),0)^(2/3))*SQRT($B$16),0))</f>
        <v/>
      </c>
      <c r="I150" s="30" t="str">
        <f>IF(($A150+7)&gt;$B$11, "", IF(IF(($B$9+2*(($A150+7)/100)*SQRT(1+$B$10^2))&gt;0,(($B$9 * (($A150+7)/100))+($B$10 * (($A150+7)/100)^2))/($B$9+2*(($A150+7)/100)*SQRT(1+$B$10^2)),0)&gt;0,(1/$B$17)*(IF(($B$9+2*(($A150+7)/100)*SQRT(1+$B$10^2))&gt;0,(($B$9 * (($A150+7)/100))+($B$10 * (($A150+7)/100)^2))/($B$9+2*(($A150+7)/100)*SQRT(1+$B$10^2)),0)^(2/3))*SQRT($B$16),0))</f>
        <v/>
      </c>
      <c r="J150" s="30" t="str">
        <f>IF(($A150+8)&gt;$B$11, "", IF(IF(($B$9+2*(($A150+8)/100)*SQRT(1+$B$10^2))&gt;0,(($B$9 * (($A150+8)/100))+($B$10 * (($A150+8)/100)^2))/($B$9+2*(($A150+8)/100)*SQRT(1+$B$10^2)),0)&gt;0,(1/$B$17)*(IF(($B$9+2*(($A150+8)/100)*SQRT(1+$B$10^2))&gt;0,(($B$9 * (($A150+8)/100))+($B$10 * (($A150+8)/100)^2))/($B$9+2*(($A150+8)/100)*SQRT(1+$B$10^2)),0)^(2/3))*SQRT($B$16),0))</f>
        <v/>
      </c>
      <c r="K150" s="30" t="str">
        <f>IF(($A150+9)&gt;$B$11, "", IF(IF(($B$9+2*(($A150+9)/100)*SQRT(1+$B$10^2))&gt;0,(($B$9 * (($A150+9)/100))+($B$10 * (($A150+9)/100)^2))/($B$9+2*(($A150+9)/100)*SQRT(1+$B$10^2)),0)&gt;0,(1/$B$17)*(IF(($B$9+2*(($A150+9)/100)*SQRT(1+$B$10^2))&gt;0,(($B$9 * (($A150+9)/100))+($B$10 * (($A150+9)/100)^2))/($B$9+2*(($A150+9)/100)*SQRT(1+$B$10^2)),0)^(2/3))*SQRT($B$16),0))</f>
        <v/>
      </c>
    </row>
    <row r="151">
      <c r="A151" s="11">
        <v>70</v>
      </c>
      <c r="B151" s="30" t="str">
        <f>IF(($A151+0)&gt;$B$11, "", IF(IF(($B$9+2*(($A151+0)/100)*SQRT(1+$B$10^2))&gt;0,(($B$9 * (($A151+0)/100))+($B$10 * (($A151+0)/100)^2))/($B$9+2*(($A151+0)/100)*SQRT(1+$B$10^2)),0)&gt;0,(1/$B$17)*(IF(($B$9+2*(($A151+0)/100)*SQRT(1+$B$10^2))&gt;0,(($B$9 * (($A151+0)/100))+($B$10 * (($A151+0)/100)^2))/($B$9+2*(($A151+0)/100)*SQRT(1+$B$10^2)),0)^(2/3))*SQRT($B$16),0))</f>
        <v/>
      </c>
      <c r="C151" s="30" t="str">
        <f>IF(($A151+1)&gt;$B$11, "", IF(IF(($B$9+2*(($A151+1)/100)*SQRT(1+$B$10^2))&gt;0,(($B$9 * (($A151+1)/100))+($B$10 * (($A151+1)/100)^2))/($B$9+2*(($A151+1)/100)*SQRT(1+$B$10^2)),0)&gt;0,(1/$B$17)*(IF(($B$9+2*(($A151+1)/100)*SQRT(1+$B$10^2))&gt;0,(($B$9 * (($A151+1)/100))+($B$10 * (($A151+1)/100)^2))/($B$9+2*(($A151+1)/100)*SQRT(1+$B$10^2)),0)^(2/3))*SQRT($B$16),0))</f>
        <v/>
      </c>
      <c r="D151" s="30" t="str">
        <f>IF(($A151+2)&gt;$B$11, "", IF(IF(($B$9+2*(($A151+2)/100)*SQRT(1+$B$10^2))&gt;0,(($B$9 * (($A151+2)/100))+($B$10 * (($A151+2)/100)^2))/($B$9+2*(($A151+2)/100)*SQRT(1+$B$10^2)),0)&gt;0,(1/$B$17)*(IF(($B$9+2*(($A151+2)/100)*SQRT(1+$B$10^2))&gt;0,(($B$9 * (($A151+2)/100))+($B$10 * (($A151+2)/100)^2))/($B$9+2*(($A151+2)/100)*SQRT(1+$B$10^2)),0)^(2/3))*SQRT($B$16),0))</f>
        <v/>
      </c>
      <c r="E151" s="30" t="str">
        <f>IF(($A151+3)&gt;$B$11, "", IF(IF(($B$9+2*(($A151+3)/100)*SQRT(1+$B$10^2))&gt;0,(($B$9 * (($A151+3)/100))+($B$10 * (($A151+3)/100)^2))/($B$9+2*(($A151+3)/100)*SQRT(1+$B$10^2)),0)&gt;0,(1/$B$17)*(IF(($B$9+2*(($A151+3)/100)*SQRT(1+$B$10^2))&gt;0,(($B$9 * (($A151+3)/100))+($B$10 * (($A151+3)/100)^2))/($B$9+2*(($A151+3)/100)*SQRT(1+$B$10^2)),0)^(2/3))*SQRT($B$16),0))</f>
        <v/>
      </c>
      <c r="F151" s="30" t="str">
        <f>IF(($A151+4)&gt;$B$11, "", IF(IF(($B$9+2*(($A151+4)/100)*SQRT(1+$B$10^2))&gt;0,(($B$9 * (($A151+4)/100))+($B$10 * (($A151+4)/100)^2))/($B$9+2*(($A151+4)/100)*SQRT(1+$B$10^2)),0)&gt;0,(1/$B$17)*(IF(($B$9+2*(($A151+4)/100)*SQRT(1+$B$10^2))&gt;0,(($B$9 * (($A151+4)/100))+($B$10 * (($A151+4)/100)^2))/($B$9+2*(($A151+4)/100)*SQRT(1+$B$10^2)),0)^(2/3))*SQRT($B$16),0))</f>
        <v/>
      </c>
      <c r="G151" s="30" t="str">
        <f>IF(($A151+5)&gt;$B$11, "", IF(IF(($B$9+2*(($A151+5)/100)*SQRT(1+$B$10^2))&gt;0,(($B$9 * (($A151+5)/100))+($B$10 * (($A151+5)/100)^2))/($B$9+2*(($A151+5)/100)*SQRT(1+$B$10^2)),0)&gt;0,(1/$B$17)*(IF(($B$9+2*(($A151+5)/100)*SQRT(1+$B$10^2))&gt;0,(($B$9 * (($A151+5)/100))+($B$10 * (($A151+5)/100)^2))/($B$9+2*(($A151+5)/100)*SQRT(1+$B$10^2)),0)^(2/3))*SQRT($B$16),0))</f>
        <v/>
      </c>
      <c r="H151" s="30" t="str">
        <f>IF(($A151+6)&gt;$B$11, "", IF(IF(($B$9+2*(($A151+6)/100)*SQRT(1+$B$10^2))&gt;0,(($B$9 * (($A151+6)/100))+($B$10 * (($A151+6)/100)^2))/($B$9+2*(($A151+6)/100)*SQRT(1+$B$10^2)),0)&gt;0,(1/$B$17)*(IF(($B$9+2*(($A151+6)/100)*SQRT(1+$B$10^2))&gt;0,(($B$9 * (($A151+6)/100))+($B$10 * (($A151+6)/100)^2))/($B$9+2*(($A151+6)/100)*SQRT(1+$B$10^2)),0)^(2/3))*SQRT($B$16),0))</f>
        <v/>
      </c>
      <c r="I151" s="30" t="str">
        <f>IF(($A151+7)&gt;$B$11, "", IF(IF(($B$9+2*(($A151+7)/100)*SQRT(1+$B$10^2))&gt;0,(($B$9 * (($A151+7)/100))+($B$10 * (($A151+7)/100)^2))/($B$9+2*(($A151+7)/100)*SQRT(1+$B$10^2)),0)&gt;0,(1/$B$17)*(IF(($B$9+2*(($A151+7)/100)*SQRT(1+$B$10^2))&gt;0,(($B$9 * (($A151+7)/100))+($B$10 * (($A151+7)/100)^2))/($B$9+2*(($A151+7)/100)*SQRT(1+$B$10^2)),0)^(2/3))*SQRT($B$16),0))</f>
        <v/>
      </c>
      <c r="J151" s="30" t="str">
        <f>IF(($A151+8)&gt;$B$11, "", IF(IF(($B$9+2*(($A151+8)/100)*SQRT(1+$B$10^2))&gt;0,(($B$9 * (($A151+8)/100))+($B$10 * (($A151+8)/100)^2))/($B$9+2*(($A151+8)/100)*SQRT(1+$B$10^2)),0)&gt;0,(1/$B$17)*(IF(($B$9+2*(($A151+8)/100)*SQRT(1+$B$10^2))&gt;0,(($B$9 * (($A151+8)/100))+($B$10 * (($A151+8)/100)^2))/($B$9+2*(($A151+8)/100)*SQRT(1+$B$10^2)),0)^(2/3))*SQRT($B$16),0))</f>
        <v/>
      </c>
      <c r="K151" s="30" t="str">
        <f>IF(($A151+9)&gt;$B$11, "", IF(IF(($B$9+2*(($A151+9)/100)*SQRT(1+$B$10^2))&gt;0,(($B$9 * (($A151+9)/100))+($B$10 * (($A151+9)/100)^2))/($B$9+2*(($A151+9)/100)*SQRT(1+$B$10^2)),0)&gt;0,(1/$B$17)*(IF(($B$9+2*(($A151+9)/100)*SQRT(1+$B$10^2))&gt;0,(($B$9 * (($A151+9)/100))+($B$10 * (($A151+9)/100)^2))/($B$9+2*(($A151+9)/100)*SQRT(1+$B$10^2)),0)^(2/3))*SQRT($B$16),0))</f>
        <v/>
      </c>
    </row>
    <row r="152">
      <c r="A152" s="11">
        <v>80</v>
      </c>
      <c r="B152" s="30" t="str">
        <f>IF(($A152+0)&gt;$B$11, "", IF(IF(($B$9+2*(($A152+0)/100)*SQRT(1+$B$10^2))&gt;0,(($B$9 * (($A152+0)/100))+($B$10 * (($A152+0)/100)^2))/($B$9+2*(($A152+0)/100)*SQRT(1+$B$10^2)),0)&gt;0,(1/$B$17)*(IF(($B$9+2*(($A152+0)/100)*SQRT(1+$B$10^2))&gt;0,(($B$9 * (($A152+0)/100))+($B$10 * (($A152+0)/100)^2))/($B$9+2*(($A152+0)/100)*SQRT(1+$B$10^2)),0)^(2/3))*SQRT($B$16),0))</f>
        <v/>
      </c>
      <c r="C152" s="30" t="str">
        <f>IF(($A152+1)&gt;$B$11, "", IF(IF(($B$9+2*(($A152+1)/100)*SQRT(1+$B$10^2))&gt;0,(($B$9 * (($A152+1)/100))+($B$10 * (($A152+1)/100)^2))/($B$9+2*(($A152+1)/100)*SQRT(1+$B$10^2)),0)&gt;0,(1/$B$17)*(IF(($B$9+2*(($A152+1)/100)*SQRT(1+$B$10^2))&gt;0,(($B$9 * (($A152+1)/100))+($B$10 * (($A152+1)/100)^2))/($B$9+2*(($A152+1)/100)*SQRT(1+$B$10^2)),0)^(2/3))*SQRT($B$16),0))</f>
        <v/>
      </c>
      <c r="D152" s="30" t="str">
        <f>IF(($A152+2)&gt;$B$11, "", IF(IF(($B$9+2*(($A152+2)/100)*SQRT(1+$B$10^2))&gt;0,(($B$9 * (($A152+2)/100))+($B$10 * (($A152+2)/100)^2))/($B$9+2*(($A152+2)/100)*SQRT(1+$B$10^2)),0)&gt;0,(1/$B$17)*(IF(($B$9+2*(($A152+2)/100)*SQRT(1+$B$10^2))&gt;0,(($B$9 * (($A152+2)/100))+($B$10 * (($A152+2)/100)^2))/($B$9+2*(($A152+2)/100)*SQRT(1+$B$10^2)),0)^(2/3))*SQRT($B$16),0))</f>
        <v/>
      </c>
      <c r="E152" s="30" t="str">
        <f>IF(($A152+3)&gt;$B$11, "", IF(IF(($B$9+2*(($A152+3)/100)*SQRT(1+$B$10^2))&gt;0,(($B$9 * (($A152+3)/100))+($B$10 * (($A152+3)/100)^2))/($B$9+2*(($A152+3)/100)*SQRT(1+$B$10^2)),0)&gt;0,(1/$B$17)*(IF(($B$9+2*(($A152+3)/100)*SQRT(1+$B$10^2))&gt;0,(($B$9 * (($A152+3)/100))+($B$10 * (($A152+3)/100)^2))/($B$9+2*(($A152+3)/100)*SQRT(1+$B$10^2)),0)^(2/3))*SQRT($B$16),0))</f>
        <v/>
      </c>
      <c r="F152" s="30" t="str">
        <f>IF(($A152+4)&gt;$B$11, "", IF(IF(($B$9+2*(($A152+4)/100)*SQRT(1+$B$10^2))&gt;0,(($B$9 * (($A152+4)/100))+($B$10 * (($A152+4)/100)^2))/($B$9+2*(($A152+4)/100)*SQRT(1+$B$10^2)),0)&gt;0,(1/$B$17)*(IF(($B$9+2*(($A152+4)/100)*SQRT(1+$B$10^2))&gt;0,(($B$9 * (($A152+4)/100))+($B$10 * (($A152+4)/100)^2))/($B$9+2*(($A152+4)/100)*SQRT(1+$B$10^2)),0)^(2/3))*SQRT($B$16),0))</f>
        <v/>
      </c>
      <c r="G152" s="30" t="str">
        <f>IF(($A152+5)&gt;$B$11, "", IF(IF(($B$9+2*(($A152+5)/100)*SQRT(1+$B$10^2))&gt;0,(($B$9 * (($A152+5)/100))+($B$10 * (($A152+5)/100)^2))/($B$9+2*(($A152+5)/100)*SQRT(1+$B$10^2)),0)&gt;0,(1/$B$17)*(IF(($B$9+2*(($A152+5)/100)*SQRT(1+$B$10^2))&gt;0,(($B$9 * (($A152+5)/100))+($B$10 * (($A152+5)/100)^2))/($B$9+2*(($A152+5)/100)*SQRT(1+$B$10^2)),0)^(2/3))*SQRT($B$16),0))</f>
        <v/>
      </c>
      <c r="H152" s="30" t="str">
        <f>IF(($A152+6)&gt;$B$11, "", IF(IF(($B$9+2*(($A152+6)/100)*SQRT(1+$B$10^2))&gt;0,(($B$9 * (($A152+6)/100))+($B$10 * (($A152+6)/100)^2))/($B$9+2*(($A152+6)/100)*SQRT(1+$B$10^2)),0)&gt;0,(1/$B$17)*(IF(($B$9+2*(($A152+6)/100)*SQRT(1+$B$10^2))&gt;0,(($B$9 * (($A152+6)/100))+($B$10 * (($A152+6)/100)^2))/($B$9+2*(($A152+6)/100)*SQRT(1+$B$10^2)),0)^(2/3))*SQRT($B$16),0))</f>
        <v/>
      </c>
      <c r="I152" s="30" t="str">
        <f>IF(($A152+7)&gt;$B$11, "", IF(IF(($B$9+2*(($A152+7)/100)*SQRT(1+$B$10^2))&gt;0,(($B$9 * (($A152+7)/100))+($B$10 * (($A152+7)/100)^2))/($B$9+2*(($A152+7)/100)*SQRT(1+$B$10^2)),0)&gt;0,(1/$B$17)*(IF(($B$9+2*(($A152+7)/100)*SQRT(1+$B$10^2))&gt;0,(($B$9 * (($A152+7)/100))+($B$10 * (($A152+7)/100)^2))/($B$9+2*(($A152+7)/100)*SQRT(1+$B$10^2)),0)^(2/3))*SQRT($B$16),0))</f>
        <v/>
      </c>
      <c r="J152" s="30" t="str">
        <f>IF(($A152+8)&gt;$B$11, "", IF(IF(($B$9+2*(($A152+8)/100)*SQRT(1+$B$10^2))&gt;0,(($B$9 * (($A152+8)/100))+($B$10 * (($A152+8)/100)^2))/($B$9+2*(($A152+8)/100)*SQRT(1+$B$10^2)),0)&gt;0,(1/$B$17)*(IF(($B$9+2*(($A152+8)/100)*SQRT(1+$B$10^2))&gt;0,(($B$9 * (($A152+8)/100))+($B$10 * (($A152+8)/100)^2))/($B$9+2*(($A152+8)/100)*SQRT(1+$B$10^2)),0)^(2/3))*SQRT($B$16),0))</f>
        <v/>
      </c>
      <c r="K152" s="30" t="str">
        <f>IF(($A152+9)&gt;$B$11, "", IF(IF(($B$9+2*(($A152+9)/100)*SQRT(1+$B$10^2))&gt;0,(($B$9 * (($A152+9)/100))+($B$10 * (($A152+9)/100)^2))/($B$9+2*(($A152+9)/100)*SQRT(1+$B$10^2)),0)&gt;0,(1/$B$17)*(IF(($B$9+2*(($A152+9)/100)*SQRT(1+$B$10^2))&gt;0,(($B$9 * (($A152+9)/100))+($B$10 * (($A152+9)/100)^2))/($B$9+2*(($A152+9)/100)*SQRT(1+$B$10^2)),0)^(2/3))*SQRT($B$16),0))</f>
        <v/>
      </c>
    </row>
    <row r="153">
      <c r="A153" s="11">
        <v>90</v>
      </c>
      <c r="B153" s="30" t="str">
        <f>IF(($A153+0)&gt;$B$11, "", IF(IF(($B$9+2*(($A153+0)/100)*SQRT(1+$B$10^2))&gt;0,(($B$9 * (($A153+0)/100))+($B$10 * (($A153+0)/100)^2))/($B$9+2*(($A153+0)/100)*SQRT(1+$B$10^2)),0)&gt;0,(1/$B$17)*(IF(($B$9+2*(($A153+0)/100)*SQRT(1+$B$10^2))&gt;0,(($B$9 * (($A153+0)/100))+($B$10 * (($A153+0)/100)^2))/($B$9+2*(($A153+0)/100)*SQRT(1+$B$10^2)),0)^(2/3))*SQRT($B$16),0))</f>
        <v/>
      </c>
      <c r="C153" s="30" t="str">
        <f>IF(($A153+1)&gt;$B$11, "", IF(IF(($B$9+2*(($A153+1)/100)*SQRT(1+$B$10^2))&gt;0,(($B$9 * (($A153+1)/100))+($B$10 * (($A153+1)/100)^2))/($B$9+2*(($A153+1)/100)*SQRT(1+$B$10^2)),0)&gt;0,(1/$B$17)*(IF(($B$9+2*(($A153+1)/100)*SQRT(1+$B$10^2))&gt;0,(($B$9 * (($A153+1)/100))+($B$10 * (($A153+1)/100)^2))/($B$9+2*(($A153+1)/100)*SQRT(1+$B$10^2)),0)^(2/3))*SQRT($B$16),0))</f>
        <v/>
      </c>
      <c r="D153" s="30" t="str">
        <f>IF(($A153+2)&gt;$B$11, "", IF(IF(($B$9+2*(($A153+2)/100)*SQRT(1+$B$10^2))&gt;0,(($B$9 * (($A153+2)/100))+($B$10 * (($A153+2)/100)^2))/($B$9+2*(($A153+2)/100)*SQRT(1+$B$10^2)),0)&gt;0,(1/$B$17)*(IF(($B$9+2*(($A153+2)/100)*SQRT(1+$B$10^2))&gt;0,(($B$9 * (($A153+2)/100))+($B$10 * (($A153+2)/100)^2))/($B$9+2*(($A153+2)/100)*SQRT(1+$B$10^2)),0)^(2/3))*SQRT($B$16),0))</f>
        <v/>
      </c>
      <c r="E153" s="30" t="str">
        <f>IF(($A153+3)&gt;$B$11, "", IF(IF(($B$9+2*(($A153+3)/100)*SQRT(1+$B$10^2))&gt;0,(($B$9 * (($A153+3)/100))+($B$10 * (($A153+3)/100)^2))/($B$9+2*(($A153+3)/100)*SQRT(1+$B$10^2)),0)&gt;0,(1/$B$17)*(IF(($B$9+2*(($A153+3)/100)*SQRT(1+$B$10^2))&gt;0,(($B$9 * (($A153+3)/100))+($B$10 * (($A153+3)/100)^2))/($B$9+2*(($A153+3)/100)*SQRT(1+$B$10^2)),0)^(2/3))*SQRT($B$16),0))</f>
        <v/>
      </c>
      <c r="F153" s="30" t="str">
        <f>IF(($A153+4)&gt;$B$11, "", IF(IF(($B$9+2*(($A153+4)/100)*SQRT(1+$B$10^2))&gt;0,(($B$9 * (($A153+4)/100))+($B$10 * (($A153+4)/100)^2))/($B$9+2*(($A153+4)/100)*SQRT(1+$B$10^2)),0)&gt;0,(1/$B$17)*(IF(($B$9+2*(($A153+4)/100)*SQRT(1+$B$10^2))&gt;0,(($B$9 * (($A153+4)/100))+($B$10 * (($A153+4)/100)^2))/($B$9+2*(($A153+4)/100)*SQRT(1+$B$10^2)),0)^(2/3))*SQRT($B$16),0))</f>
        <v/>
      </c>
      <c r="G153" s="30" t="str">
        <f>IF(($A153+5)&gt;$B$11, "", IF(IF(($B$9+2*(($A153+5)/100)*SQRT(1+$B$10^2))&gt;0,(($B$9 * (($A153+5)/100))+($B$10 * (($A153+5)/100)^2))/($B$9+2*(($A153+5)/100)*SQRT(1+$B$10^2)),0)&gt;0,(1/$B$17)*(IF(($B$9+2*(($A153+5)/100)*SQRT(1+$B$10^2))&gt;0,(($B$9 * (($A153+5)/100))+($B$10 * (($A153+5)/100)^2))/($B$9+2*(($A153+5)/100)*SQRT(1+$B$10^2)),0)^(2/3))*SQRT($B$16),0))</f>
        <v/>
      </c>
      <c r="H153" s="30" t="str">
        <f>IF(($A153+6)&gt;$B$11, "", IF(IF(($B$9+2*(($A153+6)/100)*SQRT(1+$B$10^2))&gt;0,(($B$9 * (($A153+6)/100))+($B$10 * (($A153+6)/100)^2))/($B$9+2*(($A153+6)/100)*SQRT(1+$B$10^2)),0)&gt;0,(1/$B$17)*(IF(($B$9+2*(($A153+6)/100)*SQRT(1+$B$10^2))&gt;0,(($B$9 * (($A153+6)/100))+($B$10 * (($A153+6)/100)^2))/($B$9+2*(($A153+6)/100)*SQRT(1+$B$10^2)),0)^(2/3))*SQRT($B$16),0))</f>
        <v/>
      </c>
      <c r="I153" s="30" t="str">
        <f>IF(($A153+7)&gt;$B$11, "", IF(IF(($B$9+2*(($A153+7)/100)*SQRT(1+$B$10^2))&gt;0,(($B$9 * (($A153+7)/100))+($B$10 * (($A153+7)/100)^2))/($B$9+2*(($A153+7)/100)*SQRT(1+$B$10^2)),0)&gt;0,(1/$B$17)*(IF(($B$9+2*(($A153+7)/100)*SQRT(1+$B$10^2))&gt;0,(($B$9 * (($A153+7)/100))+($B$10 * (($A153+7)/100)^2))/($B$9+2*(($A153+7)/100)*SQRT(1+$B$10^2)),0)^(2/3))*SQRT($B$16),0))</f>
        <v/>
      </c>
      <c r="J153" s="30" t="str">
        <f>IF(($A153+8)&gt;$B$11, "", IF(IF(($B$9+2*(($A153+8)/100)*SQRT(1+$B$10^2))&gt;0,(($B$9 * (($A153+8)/100))+($B$10 * (($A153+8)/100)^2))/($B$9+2*(($A153+8)/100)*SQRT(1+$B$10^2)),0)&gt;0,(1/$B$17)*(IF(($B$9+2*(($A153+8)/100)*SQRT(1+$B$10^2))&gt;0,(($B$9 * (($A153+8)/100))+($B$10 * (($A153+8)/100)^2))/($B$9+2*(($A153+8)/100)*SQRT(1+$B$10^2)),0)^(2/3))*SQRT($B$16),0))</f>
        <v/>
      </c>
      <c r="K153" s="30" t="str">
        <f>IF(($A153+9)&gt;$B$11, "", IF(IF(($B$9+2*(($A153+9)/100)*SQRT(1+$B$10^2))&gt;0,(($B$9 * (($A153+9)/100))+($B$10 * (($A153+9)/100)^2))/($B$9+2*(($A153+9)/100)*SQRT(1+$B$10^2)),0)&gt;0,(1/$B$17)*(IF(($B$9+2*(($A153+9)/100)*SQRT(1+$B$10^2))&gt;0,(($B$9 * (($A153+9)/100))+($B$10 * (($A153+9)/100)^2))/($B$9+2*(($A153+9)/100)*SQRT(1+$B$10^2)),0)^(2/3))*SQRT($B$16),0))</f>
        <v/>
      </c>
    </row>
    <row r="154">
      <c r="A154" s="11">
        <v>100</v>
      </c>
      <c r="B154" s="30" t="str">
        <f>IF(($A154+0)&gt;$B$11, "", IF(IF(($B$9+2*(($A154+0)/100)*SQRT(1+$B$10^2))&gt;0,(($B$9 * (($A154+0)/100))+($B$10 * (($A154+0)/100)^2))/($B$9+2*(($A154+0)/100)*SQRT(1+$B$10^2)),0)&gt;0,(1/$B$17)*(IF(($B$9+2*(($A154+0)/100)*SQRT(1+$B$10^2))&gt;0,(($B$9 * (($A154+0)/100))+($B$10 * (($A154+0)/100)^2))/($B$9+2*(($A154+0)/100)*SQRT(1+$B$10^2)),0)^(2/3))*SQRT($B$16),0))</f>
        <v/>
      </c>
      <c r="C154" s="30" t="str">
        <f>IF(($A154+1)&gt;$B$11, "", IF(IF(($B$9+2*(($A154+1)/100)*SQRT(1+$B$10^2))&gt;0,(($B$9 * (($A154+1)/100))+($B$10 * (($A154+1)/100)^2))/($B$9+2*(($A154+1)/100)*SQRT(1+$B$10^2)),0)&gt;0,(1/$B$17)*(IF(($B$9+2*(($A154+1)/100)*SQRT(1+$B$10^2))&gt;0,(($B$9 * (($A154+1)/100))+($B$10 * (($A154+1)/100)^2))/($B$9+2*(($A154+1)/100)*SQRT(1+$B$10^2)),0)^(2/3))*SQRT($B$16),0))</f>
        <v/>
      </c>
      <c r="D154" s="30" t="str">
        <f>IF(($A154+2)&gt;$B$11, "", IF(IF(($B$9+2*(($A154+2)/100)*SQRT(1+$B$10^2))&gt;0,(($B$9 * (($A154+2)/100))+($B$10 * (($A154+2)/100)^2))/($B$9+2*(($A154+2)/100)*SQRT(1+$B$10^2)),0)&gt;0,(1/$B$17)*(IF(($B$9+2*(($A154+2)/100)*SQRT(1+$B$10^2))&gt;0,(($B$9 * (($A154+2)/100))+($B$10 * (($A154+2)/100)^2))/($B$9+2*(($A154+2)/100)*SQRT(1+$B$10^2)),0)^(2/3))*SQRT($B$16),0))</f>
        <v/>
      </c>
      <c r="E154" s="30" t="str">
        <f>IF(($A154+3)&gt;$B$11, "", IF(IF(($B$9+2*(($A154+3)/100)*SQRT(1+$B$10^2))&gt;0,(($B$9 * (($A154+3)/100))+($B$10 * (($A154+3)/100)^2))/($B$9+2*(($A154+3)/100)*SQRT(1+$B$10^2)),0)&gt;0,(1/$B$17)*(IF(($B$9+2*(($A154+3)/100)*SQRT(1+$B$10^2))&gt;0,(($B$9 * (($A154+3)/100))+($B$10 * (($A154+3)/100)^2))/($B$9+2*(($A154+3)/100)*SQRT(1+$B$10^2)),0)^(2/3))*SQRT($B$16),0))</f>
        <v/>
      </c>
      <c r="F154" s="30" t="str">
        <f>IF(($A154+4)&gt;$B$11, "", IF(IF(($B$9+2*(($A154+4)/100)*SQRT(1+$B$10^2))&gt;0,(($B$9 * (($A154+4)/100))+($B$10 * (($A154+4)/100)^2))/($B$9+2*(($A154+4)/100)*SQRT(1+$B$10^2)),0)&gt;0,(1/$B$17)*(IF(($B$9+2*(($A154+4)/100)*SQRT(1+$B$10^2))&gt;0,(($B$9 * (($A154+4)/100))+($B$10 * (($A154+4)/100)^2))/($B$9+2*(($A154+4)/100)*SQRT(1+$B$10^2)),0)^(2/3))*SQRT($B$16),0))</f>
        <v/>
      </c>
      <c r="G154" s="30" t="str">
        <f>IF(($A154+5)&gt;$B$11, "", IF(IF(($B$9+2*(($A154+5)/100)*SQRT(1+$B$10^2))&gt;0,(($B$9 * (($A154+5)/100))+($B$10 * (($A154+5)/100)^2))/($B$9+2*(($A154+5)/100)*SQRT(1+$B$10^2)),0)&gt;0,(1/$B$17)*(IF(($B$9+2*(($A154+5)/100)*SQRT(1+$B$10^2))&gt;0,(($B$9 * (($A154+5)/100))+($B$10 * (($A154+5)/100)^2))/($B$9+2*(($A154+5)/100)*SQRT(1+$B$10^2)),0)^(2/3))*SQRT($B$16),0))</f>
        <v/>
      </c>
      <c r="H154" s="30" t="str">
        <f>IF(($A154+6)&gt;$B$11, "", IF(IF(($B$9+2*(($A154+6)/100)*SQRT(1+$B$10^2))&gt;0,(($B$9 * (($A154+6)/100))+($B$10 * (($A154+6)/100)^2))/($B$9+2*(($A154+6)/100)*SQRT(1+$B$10^2)),0)&gt;0,(1/$B$17)*(IF(($B$9+2*(($A154+6)/100)*SQRT(1+$B$10^2))&gt;0,(($B$9 * (($A154+6)/100))+($B$10 * (($A154+6)/100)^2))/($B$9+2*(($A154+6)/100)*SQRT(1+$B$10^2)),0)^(2/3))*SQRT($B$16),0))</f>
        <v/>
      </c>
      <c r="I154" s="30" t="str">
        <f>IF(($A154+7)&gt;$B$11, "", IF(IF(($B$9+2*(($A154+7)/100)*SQRT(1+$B$10^2))&gt;0,(($B$9 * (($A154+7)/100))+($B$10 * (($A154+7)/100)^2))/($B$9+2*(($A154+7)/100)*SQRT(1+$B$10^2)),0)&gt;0,(1/$B$17)*(IF(($B$9+2*(($A154+7)/100)*SQRT(1+$B$10^2))&gt;0,(($B$9 * (($A154+7)/100))+($B$10 * (($A154+7)/100)^2))/($B$9+2*(($A154+7)/100)*SQRT(1+$B$10^2)),0)^(2/3))*SQRT($B$16),0))</f>
        <v/>
      </c>
      <c r="J154" s="30" t="str">
        <f>IF(($A154+8)&gt;$B$11, "", IF(IF(($B$9+2*(($A154+8)/100)*SQRT(1+$B$10^2))&gt;0,(($B$9 * (($A154+8)/100))+($B$10 * (($A154+8)/100)^2))/($B$9+2*(($A154+8)/100)*SQRT(1+$B$10^2)),0)&gt;0,(1/$B$17)*(IF(($B$9+2*(($A154+8)/100)*SQRT(1+$B$10^2))&gt;0,(($B$9 * (($A154+8)/100))+($B$10 * (($A154+8)/100)^2))/($B$9+2*(($A154+8)/100)*SQRT(1+$B$10^2)),0)^(2/3))*SQRT($B$16),0))</f>
        <v/>
      </c>
      <c r="K154" s="30" t="str">
        <f>IF(($A154+9)&gt;$B$11, "", IF(IF(($B$9+2*(($A154+9)/100)*SQRT(1+$B$10^2))&gt;0,(($B$9 * (($A154+9)/100))+($B$10 * (($A154+9)/100)^2))/($B$9+2*(($A154+9)/100)*SQRT(1+$B$10^2)),0)&gt;0,(1/$B$17)*(IF(($B$9+2*(($A154+9)/100)*SQRT(1+$B$10^2))&gt;0,(($B$9 * (($A154+9)/100))+($B$10 * (($A154+9)/100)^2))/($B$9+2*(($A154+9)/100)*SQRT(1+$B$10^2)),0)^(2/3))*SQRT($B$16),0))</f>
        <v/>
      </c>
    </row>
    <row r="155">
      <c r="A155" s="11">
        <v>110</v>
      </c>
      <c r="B155" s="30" t="str">
        <f>IF(($A155+0)&gt;$B$11, "", IF(IF(($B$9+2*(($A155+0)/100)*SQRT(1+$B$10^2))&gt;0,(($B$9 * (($A155+0)/100))+($B$10 * (($A155+0)/100)^2))/($B$9+2*(($A155+0)/100)*SQRT(1+$B$10^2)),0)&gt;0,(1/$B$17)*(IF(($B$9+2*(($A155+0)/100)*SQRT(1+$B$10^2))&gt;0,(($B$9 * (($A155+0)/100))+($B$10 * (($A155+0)/100)^2))/($B$9+2*(($A155+0)/100)*SQRT(1+$B$10^2)),0)^(2/3))*SQRT($B$16),0))</f>
        <v/>
      </c>
      <c r="C155" s="30" t="str">
        <f>IF(($A155+1)&gt;$B$11, "", IF(IF(($B$9+2*(($A155+1)/100)*SQRT(1+$B$10^2))&gt;0,(($B$9 * (($A155+1)/100))+($B$10 * (($A155+1)/100)^2))/($B$9+2*(($A155+1)/100)*SQRT(1+$B$10^2)),0)&gt;0,(1/$B$17)*(IF(($B$9+2*(($A155+1)/100)*SQRT(1+$B$10^2))&gt;0,(($B$9 * (($A155+1)/100))+($B$10 * (($A155+1)/100)^2))/($B$9+2*(($A155+1)/100)*SQRT(1+$B$10^2)),0)^(2/3))*SQRT($B$16),0))</f>
        <v/>
      </c>
      <c r="D155" s="30" t="str">
        <f>IF(($A155+2)&gt;$B$11, "", IF(IF(($B$9+2*(($A155+2)/100)*SQRT(1+$B$10^2))&gt;0,(($B$9 * (($A155+2)/100))+($B$10 * (($A155+2)/100)^2))/($B$9+2*(($A155+2)/100)*SQRT(1+$B$10^2)),0)&gt;0,(1/$B$17)*(IF(($B$9+2*(($A155+2)/100)*SQRT(1+$B$10^2))&gt;0,(($B$9 * (($A155+2)/100))+($B$10 * (($A155+2)/100)^2))/($B$9+2*(($A155+2)/100)*SQRT(1+$B$10^2)),0)^(2/3))*SQRT($B$16),0))</f>
        <v/>
      </c>
      <c r="E155" s="30" t="str">
        <f>IF(($A155+3)&gt;$B$11, "", IF(IF(($B$9+2*(($A155+3)/100)*SQRT(1+$B$10^2))&gt;0,(($B$9 * (($A155+3)/100))+($B$10 * (($A155+3)/100)^2))/($B$9+2*(($A155+3)/100)*SQRT(1+$B$10^2)),0)&gt;0,(1/$B$17)*(IF(($B$9+2*(($A155+3)/100)*SQRT(1+$B$10^2))&gt;0,(($B$9 * (($A155+3)/100))+($B$10 * (($A155+3)/100)^2))/($B$9+2*(($A155+3)/100)*SQRT(1+$B$10^2)),0)^(2/3))*SQRT($B$16),0))</f>
        <v/>
      </c>
      <c r="F155" s="30" t="str">
        <f>IF(($A155+4)&gt;$B$11, "", IF(IF(($B$9+2*(($A155+4)/100)*SQRT(1+$B$10^2))&gt;0,(($B$9 * (($A155+4)/100))+($B$10 * (($A155+4)/100)^2))/($B$9+2*(($A155+4)/100)*SQRT(1+$B$10^2)),0)&gt;0,(1/$B$17)*(IF(($B$9+2*(($A155+4)/100)*SQRT(1+$B$10^2))&gt;0,(($B$9 * (($A155+4)/100))+($B$10 * (($A155+4)/100)^2))/($B$9+2*(($A155+4)/100)*SQRT(1+$B$10^2)),0)^(2/3))*SQRT($B$16),0))</f>
        <v/>
      </c>
      <c r="G155" s="30" t="str">
        <f>IF(($A155+5)&gt;$B$11, "", IF(IF(($B$9+2*(($A155+5)/100)*SQRT(1+$B$10^2))&gt;0,(($B$9 * (($A155+5)/100))+($B$10 * (($A155+5)/100)^2))/($B$9+2*(($A155+5)/100)*SQRT(1+$B$10^2)),0)&gt;0,(1/$B$17)*(IF(($B$9+2*(($A155+5)/100)*SQRT(1+$B$10^2))&gt;0,(($B$9 * (($A155+5)/100))+($B$10 * (($A155+5)/100)^2))/($B$9+2*(($A155+5)/100)*SQRT(1+$B$10^2)),0)^(2/3))*SQRT($B$16),0))</f>
        <v/>
      </c>
      <c r="H155" s="30" t="str">
        <f>IF(($A155+6)&gt;$B$11, "", IF(IF(($B$9+2*(($A155+6)/100)*SQRT(1+$B$10^2))&gt;0,(($B$9 * (($A155+6)/100))+($B$10 * (($A155+6)/100)^2))/($B$9+2*(($A155+6)/100)*SQRT(1+$B$10^2)),0)&gt;0,(1/$B$17)*(IF(($B$9+2*(($A155+6)/100)*SQRT(1+$B$10^2))&gt;0,(($B$9 * (($A155+6)/100))+($B$10 * (($A155+6)/100)^2))/($B$9+2*(($A155+6)/100)*SQRT(1+$B$10^2)),0)^(2/3))*SQRT($B$16),0))</f>
        <v/>
      </c>
      <c r="I155" s="30" t="str">
        <f>IF(($A155+7)&gt;$B$11, "", IF(IF(($B$9+2*(($A155+7)/100)*SQRT(1+$B$10^2))&gt;0,(($B$9 * (($A155+7)/100))+($B$10 * (($A155+7)/100)^2))/($B$9+2*(($A155+7)/100)*SQRT(1+$B$10^2)),0)&gt;0,(1/$B$17)*(IF(($B$9+2*(($A155+7)/100)*SQRT(1+$B$10^2))&gt;0,(($B$9 * (($A155+7)/100))+($B$10 * (($A155+7)/100)^2))/($B$9+2*(($A155+7)/100)*SQRT(1+$B$10^2)),0)^(2/3))*SQRT($B$16),0))</f>
        <v/>
      </c>
      <c r="J155" s="30" t="str">
        <f>IF(($A155+8)&gt;$B$11, "", IF(IF(($B$9+2*(($A155+8)/100)*SQRT(1+$B$10^2))&gt;0,(($B$9 * (($A155+8)/100))+($B$10 * (($A155+8)/100)^2))/($B$9+2*(($A155+8)/100)*SQRT(1+$B$10^2)),0)&gt;0,(1/$B$17)*(IF(($B$9+2*(($A155+8)/100)*SQRT(1+$B$10^2))&gt;0,(($B$9 * (($A155+8)/100))+($B$10 * (($A155+8)/100)^2))/($B$9+2*(($A155+8)/100)*SQRT(1+$B$10^2)),0)^(2/3))*SQRT($B$16),0))</f>
        <v/>
      </c>
      <c r="K155" s="30" t="str">
        <f>IF(($A155+9)&gt;$B$11, "", IF(IF(($B$9+2*(($A155+9)/100)*SQRT(1+$B$10^2))&gt;0,(($B$9 * (($A155+9)/100))+($B$10 * (($A155+9)/100)^2))/($B$9+2*(($A155+9)/100)*SQRT(1+$B$10^2)),0)&gt;0,(1/$B$17)*(IF(($B$9+2*(($A155+9)/100)*SQRT(1+$B$10^2))&gt;0,(($B$9 * (($A155+9)/100))+($B$10 * (($A155+9)/100)^2))/($B$9+2*(($A155+9)/100)*SQRT(1+$B$10^2)),0)^(2/3))*SQRT($B$16),0))</f>
        <v/>
      </c>
    </row>
    <row r="156">
      <c r="A156" s="11">
        <v>120</v>
      </c>
      <c r="B156" s="30" t="str">
        <f>IF(($A156+0)&gt;$B$11, "", IF(IF(($B$9+2*(($A156+0)/100)*SQRT(1+$B$10^2))&gt;0,(($B$9 * (($A156+0)/100))+($B$10 * (($A156+0)/100)^2))/($B$9+2*(($A156+0)/100)*SQRT(1+$B$10^2)),0)&gt;0,(1/$B$17)*(IF(($B$9+2*(($A156+0)/100)*SQRT(1+$B$10^2))&gt;0,(($B$9 * (($A156+0)/100))+($B$10 * (($A156+0)/100)^2))/($B$9+2*(($A156+0)/100)*SQRT(1+$B$10^2)),0)^(2/3))*SQRT($B$16),0))</f>
        <v/>
      </c>
      <c r="C156" s="30" t="str">
        <f>IF(($A156+1)&gt;$B$11, "", IF(IF(($B$9+2*(($A156+1)/100)*SQRT(1+$B$10^2))&gt;0,(($B$9 * (($A156+1)/100))+($B$10 * (($A156+1)/100)^2))/($B$9+2*(($A156+1)/100)*SQRT(1+$B$10^2)),0)&gt;0,(1/$B$17)*(IF(($B$9+2*(($A156+1)/100)*SQRT(1+$B$10^2))&gt;0,(($B$9 * (($A156+1)/100))+($B$10 * (($A156+1)/100)^2))/($B$9+2*(($A156+1)/100)*SQRT(1+$B$10^2)),0)^(2/3))*SQRT($B$16),0))</f>
        <v/>
      </c>
      <c r="D156" s="30" t="str">
        <f>IF(($A156+2)&gt;$B$11, "", IF(IF(($B$9+2*(($A156+2)/100)*SQRT(1+$B$10^2))&gt;0,(($B$9 * (($A156+2)/100))+($B$10 * (($A156+2)/100)^2))/($B$9+2*(($A156+2)/100)*SQRT(1+$B$10^2)),0)&gt;0,(1/$B$17)*(IF(($B$9+2*(($A156+2)/100)*SQRT(1+$B$10^2))&gt;0,(($B$9 * (($A156+2)/100))+($B$10 * (($A156+2)/100)^2))/($B$9+2*(($A156+2)/100)*SQRT(1+$B$10^2)),0)^(2/3))*SQRT($B$16),0))</f>
        <v/>
      </c>
      <c r="E156" s="30" t="str">
        <f>IF(($A156+3)&gt;$B$11, "", IF(IF(($B$9+2*(($A156+3)/100)*SQRT(1+$B$10^2))&gt;0,(($B$9 * (($A156+3)/100))+($B$10 * (($A156+3)/100)^2))/($B$9+2*(($A156+3)/100)*SQRT(1+$B$10^2)),0)&gt;0,(1/$B$17)*(IF(($B$9+2*(($A156+3)/100)*SQRT(1+$B$10^2))&gt;0,(($B$9 * (($A156+3)/100))+($B$10 * (($A156+3)/100)^2))/($B$9+2*(($A156+3)/100)*SQRT(1+$B$10^2)),0)^(2/3))*SQRT($B$16),0))</f>
        <v/>
      </c>
      <c r="F156" s="30" t="str">
        <f>IF(($A156+4)&gt;$B$11, "", IF(IF(($B$9+2*(($A156+4)/100)*SQRT(1+$B$10^2))&gt;0,(($B$9 * (($A156+4)/100))+($B$10 * (($A156+4)/100)^2))/($B$9+2*(($A156+4)/100)*SQRT(1+$B$10^2)),0)&gt;0,(1/$B$17)*(IF(($B$9+2*(($A156+4)/100)*SQRT(1+$B$10^2))&gt;0,(($B$9 * (($A156+4)/100))+($B$10 * (($A156+4)/100)^2))/($B$9+2*(($A156+4)/100)*SQRT(1+$B$10^2)),0)^(2/3))*SQRT($B$16),0))</f>
        <v/>
      </c>
      <c r="G156" s="30" t="str">
        <f>IF(($A156+5)&gt;$B$11, "", IF(IF(($B$9+2*(($A156+5)/100)*SQRT(1+$B$10^2))&gt;0,(($B$9 * (($A156+5)/100))+($B$10 * (($A156+5)/100)^2))/($B$9+2*(($A156+5)/100)*SQRT(1+$B$10^2)),0)&gt;0,(1/$B$17)*(IF(($B$9+2*(($A156+5)/100)*SQRT(1+$B$10^2))&gt;0,(($B$9 * (($A156+5)/100))+($B$10 * (($A156+5)/100)^2))/($B$9+2*(($A156+5)/100)*SQRT(1+$B$10^2)),0)^(2/3))*SQRT($B$16),0))</f>
        <v/>
      </c>
      <c r="H156" s="30" t="str">
        <f>IF(($A156+6)&gt;$B$11, "", IF(IF(($B$9+2*(($A156+6)/100)*SQRT(1+$B$10^2))&gt;0,(($B$9 * (($A156+6)/100))+($B$10 * (($A156+6)/100)^2))/($B$9+2*(($A156+6)/100)*SQRT(1+$B$10^2)),0)&gt;0,(1/$B$17)*(IF(($B$9+2*(($A156+6)/100)*SQRT(1+$B$10^2))&gt;0,(($B$9 * (($A156+6)/100))+($B$10 * (($A156+6)/100)^2))/($B$9+2*(($A156+6)/100)*SQRT(1+$B$10^2)),0)^(2/3))*SQRT($B$16),0))</f>
        <v/>
      </c>
      <c r="I156" s="30" t="str">
        <f>IF(($A156+7)&gt;$B$11, "", IF(IF(($B$9+2*(($A156+7)/100)*SQRT(1+$B$10^2))&gt;0,(($B$9 * (($A156+7)/100))+($B$10 * (($A156+7)/100)^2))/($B$9+2*(($A156+7)/100)*SQRT(1+$B$10^2)),0)&gt;0,(1/$B$17)*(IF(($B$9+2*(($A156+7)/100)*SQRT(1+$B$10^2))&gt;0,(($B$9 * (($A156+7)/100))+($B$10 * (($A156+7)/100)^2))/($B$9+2*(($A156+7)/100)*SQRT(1+$B$10^2)),0)^(2/3))*SQRT($B$16),0))</f>
        <v/>
      </c>
      <c r="J156" s="30" t="str">
        <f>IF(($A156+8)&gt;$B$11, "", IF(IF(($B$9+2*(($A156+8)/100)*SQRT(1+$B$10^2))&gt;0,(($B$9 * (($A156+8)/100))+($B$10 * (($A156+8)/100)^2))/($B$9+2*(($A156+8)/100)*SQRT(1+$B$10^2)),0)&gt;0,(1/$B$17)*(IF(($B$9+2*(($A156+8)/100)*SQRT(1+$B$10^2))&gt;0,(($B$9 * (($A156+8)/100))+($B$10 * (($A156+8)/100)^2))/($B$9+2*(($A156+8)/100)*SQRT(1+$B$10^2)),0)^(2/3))*SQRT($B$16),0))</f>
        <v/>
      </c>
      <c r="K156" s="30" t="str">
        <f>IF(($A156+9)&gt;$B$11, "", IF(IF(($B$9+2*(($A156+9)/100)*SQRT(1+$B$10^2))&gt;0,(($B$9 * (($A156+9)/100))+($B$10 * (($A156+9)/100)^2))/($B$9+2*(($A156+9)/100)*SQRT(1+$B$10^2)),0)&gt;0,(1/$B$17)*(IF(($B$9+2*(($A156+9)/100)*SQRT(1+$B$10^2))&gt;0,(($B$9 * (($A156+9)/100))+($B$10 * (($A156+9)/100)^2))/($B$9+2*(($A156+9)/100)*SQRT(1+$B$10^2)),0)^(2/3))*SQRT($B$16),0))</f>
        <v/>
      </c>
    </row>
    <row r="157">
      <c r="A157" s="11">
        <v>130</v>
      </c>
      <c r="B157" s="30" t="str">
        <f>IF(($A157+0)&gt;$B$11, "", IF(IF(($B$9+2*(($A157+0)/100)*SQRT(1+$B$10^2))&gt;0,(($B$9 * (($A157+0)/100))+($B$10 * (($A157+0)/100)^2))/($B$9+2*(($A157+0)/100)*SQRT(1+$B$10^2)),0)&gt;0,(1/$B$17)*(IF(($B$9+2*(($A157+0)/100)*SQRT(1+$B$10^2))&gt;0,(($B$9 * (($A157+0)/100))+($B$10 * (($A157+0)/100)^2))/($B$9+2*(($A157+0)/100)*SQRT(1+$B$10^2)),0)^(2/3))*SQRT($B$16),0))</f>
        <v/>
      </c>
      <c r="C157" s="30" t="str">
        <f>IF(($A157+1)&gt;$B$11, "", IF(IF(($B$9+2*(($A157+1)/100)*SQRT(1+$B$10^2))&gt;0,(($B$9 * (($A157+1)/100))+($B$10 * (($A157+1)/100)^2))/($B$9+2*(($A157+1)/100)*SQRT(1+$B$10^2)),0)&gt;0,(1/$B$17)*(IF(($B$9+2*(($A157+1)/100)*SQRT(1+$B$10^2))&gt;0,(($B$9 * (($A157+1)/100))+($B$10 * (($A157+1)/100)^2))/($B$9+2*(($A157+1)/100)*SQRT(1+$B$10^2)),0)^(2/3))*SQRT($B$16),0))</f>
        <v/>
      </c>
      <c r="D157" s="30" t="str">
        <f>IF(($A157+2)&gt;$B$11, "", IF(IF(($B$9+2*(($A157+2)/100)*SQRT(1+$B$10^2))&gt;0,(($B$9 * (($A157+2)/100))+($B$10 * (($A157+2)/100)^2))/($B$9+2*(($A157+2)/100)*SQRT(1+$B$10^2)),0)&gt;0,(1/$B$17)*(IF(($B$9+2*(($A157+2)/100)*SQRT(1+$B$10^2))&gt;0,(($B$9 * (($A157+2)/100))+($B$10 * (($A157+2)/100)^2))/($B$9+2*(($A157+2)/100)*SQRT(1+$B$10^2)),0)^(2/3))*SQRT($B$16),0))</f>
        <v/>
      </c>
      <c r="E157" s="30" t="str">
        <f>IF(($A157+3)&gt;$B$11, "", IF(IF(($B$9+2*(($A157+3)/100)*SQRT(1+$B$10^2))&gt;0,(($B$9 * (($A157+3)/100))+($B$10 * (($A157+3)/100)^2))/($B$9+2*(($A157+3)/100)*SQRT(1+$B$10^2)),0)&gt;0,(1/$B$17)*(IF(($B$9+2*(($A157+3)/100)*SQRT(1+$B$10^2))&gt;0,(($B$9 * (($A157+3)/100))+($B$10 * (($A157+3)/100)^2))/($B$9+2*(($A157+3)/100)*SQRT(1+$B$10^2)),0)^(2/3))*SQRT($B$16),0))</f>
        <v/>
      </c>
      <c r="F157" s="30" t="str">
        <f>IF(($A157+4)&gt;$B$11, "", IF(IF(($B$9+2*(($A157+4)/100)*SQRT(1+$B$10^2))&gt;0,(($B$9 * (($A157+4)/100))+($B$10 * (($A157+4)/100)^2))/($B$9+2*(($A157+4)/100)*SQRT(1+$B$10^2)),0)&gt;0,(1/$B$17)*(IF(($B$9+2*(($A157+4)/100)*SQRT(1+$B$10^2))&gt;0,(($B$9 * (($A157+4)/100))+($B$10 * (($A157+4)/100)^2))/($B$9+2*(($A157+4)/100)*SQRT(1+$B$10^2)),0)^(2/3))*SQRT($B$16),0))</f>
        <v/>
      </c>
      <c r="G157" s="30" t="str">
        <f>IF(($A157+5)&gt;$B$11, "", IF(IF(($B$9+2*(($A157+5)/100)*SQRT(1+$B$10^2))&gt;0,(($B$9 * (($A157+5)/100))+($B$10 * (($A157+5)/100)^2))/($B$9+2*(($A157+5)/100)*SQRT(1+$B$10^2)),0)&gt;0,(1/$B$17)*(IF(($B$9+2*(($A157+5)/100)*SQRT(1+$B$10^2))&gt;0,(($B$9 * (($A157+5)/100))+($B$10 * (($A157+5)/100)^2))/($B$9+2*(($A157+5)/100)*SQRT(1+$B$10^2)),0)^(2/3))*SQRT($B$16),0))</f>
        <v/>
      </c>
      <c r="H157" s="30" t="str">
        <f>IF(($A157+6)&gt;$B$11, "", IF(IF(($B$9+2*(($A157+6)/100)*SQRT(1+$B$10^2))&gt;0,(($B$9 * (($A157+6)/100))+($B$10 * (($A157+6)/100)^2))/($B$9+2*(($A157+6)/100)*SQRT(1+$B$10^2)),0)&gt;0,(1/$B$17)*(IF(($B$9+2*(($A157+6)/100)*SQRT(1+$B$10^2))&gt;0,(($B$9 * (($A157+6)/100))+($B$10 * (($A157+6)/100)^2))/($B$9+2*(($A157+6)/100)*SQRT(1+$B$10^2)),0)^(2/3))*SQRT($B$16),0))</f>
        <v/>
      </c>
      <c r="I157" s="30" t="str">
        <f>IF(($A157+7)&gt;$B$11, "", IF(IF(($B$9+2*(($A157+7)/100)*SQRT(1+$B$10^2))&gt;0,(($B$9 * (($A157+7)/100))+($B$10 * (($A157+7)/100)^2))/($B$9+2*(($A157+7)/100)*SQRT(1+$B$10^2)),0)&gt;0,(1/$B$17)*(IF(($B$9+2*(($A157+7)/100)*SQRT(1+$B$10^2))&gt;0,(($B$9 * (($A157+7)/100))+($B$10 * (($A157+7)/100)^2))/($B$9+2*(($A157+7)/100)*SQRT(1+$B$10^2)),0)^(2/3))*SQRT($B$16),0))</f>
        <v/>
      </c>
      <c r="J157" s="30" t="str">
        <f>IF(($A157+8)&gt;$B$11, "", IF(IF(($B$9+2*(($A157+8)/100)*SQRT(1+$B$10^2))&gt;0,(($B$9 * (($A157+8)/100))+($B$10 * (($A157+8)/100)^2))/($B$9+2*(($A157+8)/100)*SQRT(1+$B$10^2)),0)&gt;0,(1/$B$17)*(IF(($B$9+2*(($A157+8)/100)*SQRT(1+$B$10^2))&gt;0,(($B$9 * (($A157+8)/100))+($B$10 * (($A157+8)/100)^2))/($B$9+2*(($A157+8)/100)*SQRT(1+$B$10^2)),0)^(2/3))*SQRT($B$16),0))</f>
        <v/>
      </c>
      <c r="K157" s="30" t="str">
        <f>IF(($A157+9)&gt;$B$11, "", IF(IF(($B$9+2*(($A157+9)/100)*SQRT(1+$B$10^2))&gt;0,(($B$9 * (($A157+9)/100))+($B$10 * (($A157+9)/100)^2))/($B$9+2*(($A157+9)/100)*SQRT(1+$B$10^2)),0)&gt;0,(1/$B$17)*(IF(($B$9+2*(($A157+9)/100)*SQRT(1+$B$10^2))&gt;0,(($B$9 * (($A157+9)/100))+($B$10 * (($A157+9)/100)^2))/($B$9+2*(($A157+9)/100)*SQRT(1+$B$10^2)),0)^(2/3))*SQRT($B$16),0))</f>
        <v/>
      </c>
    </row>
    <row r="158">
      <c r="A158" s="11">
        <v>140</v>
      </c>
      <c r="B158" s="30" t="str">
        <f>IF(($A158+0)&gt;$B$11, "", IF(IF(($B$9+2*(($A158+0)/100)*SQRT(1+$B$10^2))&gt;0,(($B$9 * (($A158+0)/100))+($B$10 * (($A158+0)/100)^2))/($B$9+2*(($A158+0)/100)*SQRT(1+$B$10^2)),0)&gt;0,(1/$B$17)*(IF(($B$9+2*(($A158+0)/100)*SQRT(1+$B$10^2))&gt;0,(($B$9 * (($A158+0)/100))+($B$10 * (($A158+0)/100)^2))/($B$9+2*(($A158+0)/100)*SQRT(1+$B$10^2)),0)^(2/3))*SQRT($B$16),0))</f>
        <v/>
      </c>
      <c r="C158" s="30" t="str">
        <f>IF(($A158+1)&gt;$B$11, "", IF(IF(($B$9+2*(($A158+1)/100)*SQRT(1+$B$10^2))&gt;0,(($B$9 * (($A158+1)/100))+($B$10 * (($A158+1)/100)^2))/($B$9+2*(($A158+1)/100)*SQRT(1+$B$10^2)),0)&gt;0,(1/$B$17)*(IF(($B$9+2*(($A158+1)/100)*SQRT(1+$B$10^2))&gt;0,(($B$9 * (($A158+1)/100))+($B$10 * (($A158+1)/100)^2))/($B$9+2*(($A158+1)/100)*SQRT(1+$B$10^2)),0)^(2/3))*SQRT($B$16),0))</f>
        <v/>
      </c>
      <c r="D158" s="30" t="str">
        <f>IF(($A158+2)&gt;$B$11, "", IF(IF(($B$9+2*(($A158+2)/100)*SQRT(1+$B$10^2))&gt;0,(($B$9 * (($A158+2)/100))+($B$10 * (($A158+2)/100)^2))/($B$9+2*(($A158+2)/100)*SQRT(1+$B$10^2)),0)&gt;0,(1/$B$17)*(IF(($B$9+2*(($A158+2)/100)*SQRT(1+$B$10^2))&gt;0,(($B$9 * (($A158+2)/100))+($B$10 * (($A158+2)/100)^2))/($B$9+2*(($A158+2)/100)*SQRT(1+$B$10^2)),0)^(2/3))*SQRT($B$16),0))</f>
        <v/>
      </c>
      <c r="E158" s="30" t="str">
        <f>IF(($A158+3)&gt;$B$11, "", IF(IF(($B$9+2*(($A158+3)/100)*SQRT(1+$B$10^2))&gt;0,(($B$9 * (($A158+3)/100))+($B$10 * (($A158+3)/100)^2))/($B$9+2*(($A158+3)/100)*SQRT(1+$B$10^2)),0)&gt;0,(1/$B$17)*(IF(($B$9+2*(($A158+3)/100)*SQRT(1+$B$10^2))&gt;0,(($B$9 * (($A158+3)/100))+($B$10 * (($A158+3)/100)^2))/($B$9+2*(($A158+3)/100)*SQRT(1+$B$10^2)),0)^(2/3))*SQRT($B$16),0))</f>
        <v/>
      </c>
      <c r="F158" s="30" t="str">
        <f>IF(($A158+4)&gt;$B$11, "", IF(IF(($B$9+2*(($A158+4)/100)*SQRT(1+$B$10^2))&gt;0,(($B$9 * (($A158+4)/100))+($B$10 * (($A158+4)/100)^2))/($B$9+2*(($A158+4)/100)*SQRT(1+$B$10^2)),0)&gt;0,(1/$B$17)*(IF(($B$9+2*(($A158+4)/100)*SQRT(1+$B$10^2))&gt;0,(($B$9 * (($A158+4)/100))+($B$10 * (($A158+4)/100)^2))/($B$9+2*(($A158+4)/100)*SQRT(1+$B$10^2)),0)^(2/3))*SQRT($B$16),0))</f>
        <v/>
      </c>
      <c r="G158" s="30" t="str">
        <f>IF(($A158+5)&gt;$B$11, "", IF(IF(($B$9+2*(($A158+5)/100)*SQRT(1+$B$10^2))&gt;0,(($B$9 * (($A158+5)/100))+($B$10 * (($A158+5)/100)^2))/($B$9+2*(($A158+5)/100)*SQRT(1+$B$10^2)),0)&gt;0,(1/$B$17)*(IF(($B$9+2*(($A158+5)/100)*SQRT(1+$B$10^2))&gt;0,(($B$9 * (($A158+5)/100))+($B$10 * (($A158+5)/100)^2))/($B$9+2*(($A158+5)/100)*SQRT(1+$B$10^2)),0)^(2/3))*SQRT($B$16),0))</f>
        <v/>
      </c>
      <c r="H158" s="30" t="str">
        <f>IF(($A158+6)&gt;$B$11, "", IF(IF(($B$9+2*(($A158+6)/100)*SQRT(1+$B$10^2))&gt;0,(($B$9 * (($A158+6)/100))+($B$10 * (($A158+6)/100)^2))/($B$9+2*(($A158+6)/100)*SQRT(1+$B$10^2)),0)&gt;0,(1/$B$17)*(IF(($B$9+2*(($A158+6)/100)*SQRT(1+$B$10^2))&gt;0,(($B$9 * (($A158+6)/100))+($B$10 * (($A158+6)/100)^2))/($B$9+2*(($A158+6)/100)*SQRT(1+$B$10^2)),0)^(2/3))*SQRT($B$16),0))</f>
        <v/>
      </c>
      <c r="I158" s="30" t="str">
        <f>IF(($A158+7)&gt;$B$11, "", IF(IF(($B$9+2*(($A158+7)/100)*SQRT(1+$B$10^2))&gt;0,(($B$9 * (($A158+7)/100))+($B$10 * (($A158+7)/100)^2))/($B$9+2*(($A158+7)/100)*SQRT(1+$B$10^2)),0)&gt;0,(1/$B$17)*(IF(($B$9+2*(($A158+7)/100)*SQRT(1+$B$10^2))&gt;0,(($B$9 * (($A158+7)/100))+($B$10 * (($A158+7)/100)^2))/($B$9+2*(($A158+7)/100)*SQRT(1+$B$10^2)),0)^(2/3))*SQRT($B$16),0))</f>
        <v/>
      </c>
      <c r="J158" s="30" t="str">
        <f>IF(($A158+8)&gt;$B$11, "", IF(IF(($B$9+2*(($A158+8)/100)*SQRT(1+$B$10^2))&gt;0,(($B$9 * (($A158+8)/100))+($B$10 * (($A158+8)/100)^2))/($B$9+2*(($A158+8)/100)*SQRT(1+$B$10^2)),0)&gt;0,(1/$B$17)*(IF(($B$9+2*(($A158+8)/100)*SQRT(1+$B$10^2))&gt;0,(($B$9 * (($A158+8)/100))+($B$10 * (($A158+8)/100)^2))/($B$9+2*(($A158+8)/100)*SQRT(1+$B$10^2)),0)^(2/3))*SQRT($B$16),0))</f>
        <v/>
      </c>
      <c r="K158" s="30" t="str">
        <f>IF(($A158+9)&gt;$B$11, "", IF(IF(($B$9+2*(($A158+9)/100)*SQRT(1+$B$10^2))&gt;0,(($B$9 * (($A158+9)/100))+($B$10 * (($A158+9)/100)^2))/($B$9+2*(($A158+9)/100)*SQRT(1+$B$10^2)),0)&gt;0,(1/$B$17)*(IF(($B$9+2*(($A158+9)/100)*SQRT(1+$B$10^2))&gt;0,(($B$9 * (($A158+9)/100))+($B$10 * (($A158+9)/100)^2))/($B$9+2*(($A158+9)/100)*SQRT(1+$B$10^2)),0)^(2/3))*SQRT($B$16),0))</f>
        <v/>
      </c>
    </row>
    <row r="159">
      <c r="A159" s="11">
        <v>150</v>
      </c>
      <c r="B159" s="30" t="str">
        <f>IF(($A159+0)&gt;$B$11, "", IF(IF(($B$9+2*(($A159+0)/100)*SQRT(1+$B$10^2))&gt;0,(($B$9 * (($A159+0)/100))+($B$10 * (($A159+0)/100)^2))/($B$9+2*(($A159+0)/100)*SQRT(1+$B$10^2)),0)&gt;0,(1/$B$17)*(IF(($B$9+2*(($A159+0)/100)*SQRT(1+$B$10^2))&gt;0,(($B$9 * (($A159+0)/100))+($B$10 * (($A159+0)/100)^2))/($B$9+2*(($A159+0)/100)*SQRT(1+$B$10^2)),0)^(2/3))*SQRT($B$16),0))</f>
        <v/>
      </c>
      <c r="C159" s="30" t="str">
        <f>IF(($A159+1)&gt;$B$11, "", IF(IF(($B$9+2*(($A159+1)/100)*SQRT(1+$B$10^2))&gt;0,(($B$9 * (($A159+1)/100))+($B$10 * (($A159+1)/100)^2))/($B$9+2*(($A159+1)/100)*SQRT(1+$B$10^2)),0)&gt;0,(1/$B$17)*(IF(($B$9+2*(($A159+1)/100)*SQRT(1+$B$10^2))&gt;0,(($B$9 * (($A159+1)/100))+($B$10 * (($A159+1)/100)^2))/($B$9+2*(($A159+1)/100)*SQRT(1+$B$10^2)),0)^(2/3))*SQRT($B$16),0))</f>
        <v/>
      </c>
      <c r="D159" s="30" t="str">
        <f>IF(($A159+2)&gt;$B$11, "", IF(IF(($B$9+2*(($A159+2)/100)*SQRT(1+$B$10^2))&gt;0,(($B$9 * (($A159+2)/100))+($B$10 * (($A159+2)/100)^2))/($B$9+2*(($A159+2)/100)*SQRT(1+$B$10^2)),0)&gt;0,(1/$B$17)*(IF(($B$9+2*(($A159+2)/100)*SQRT(1+$B$10^2))&gt;0,(($B$9 * (($A159+2)/100))+($B$10 * (($A159+2)/100)^2))/($B$9+2*(($A159+2)/100)*SQRT(1+$B$10^2)),0)^(2/3))*SQRT($B$16),0))</f>
        <v/>
      </c>
      <c r="E159" s="30" t="str">
        <f>IF(($A159+3)&gt;$B$11, "", IF(IF(($B$9+2*(($A159+3)/100)*SQRT(1+$B$10^2))&gt;0,(($B$9 * (($A159+3)/100))+($B$10 * (($A159+3)/100)^2))/($B$9+2*(($A159+3)/100)*SQRT(1+$B$10^2)),0)&gt;0,(1/$B$17)*(IF(($B$9+2*(($A159+3)/100)*SQRT(1+$B$10^2))&gt;0,(($B$9 * (($A159+3)/100))+($B$10 * (($A159+3)/100)^2))/($B$9+2*(($A159+3)/100)*SQRT(1+$B$10^2)),0)^(2/3))*SQRT($B$16),0))</f>
        <v/>
      </c>
      <c r="F159" s="30" t="str">
        <f>IF(($A159+4)&gt;$B$11, "", IF(IF(($B$9+2*(($A159+4)/100)*SQRT(1+$B$10^2))&gt;0,(($B$9 * (($A159+4)/100))+($B$10 * (($A159+4)/100)^2))/($B$9+2*(($A159+4)/100)*SQRT(1+$B$10^2)),0)&gt;0,(1/$B$17)*(IF(($B$9+2*(($A159+4)/100)*SQRT(1+$B$10^2))&gt;0,(($B$9 * (($A159+4)/100))+($B$10 * (($A159+4)/100)^2))/($B$9+2*(($A159+4)/100)*SQRT(1+$B$10^2)),0)^(2/3))*SQRT($B$16),0))</f>
        <v/>
      </c>
      <c r="G159" s="30" t="str">
        <f>IF(($A159+5)&gt;$B$11, "", IF(IF(($B$9+2*(($A159+5)/100)*SQRT(1+$B$10^2))&gt;0,(($B$9 * (($A159+5)/100))+($B$10 * (($A159+5)/100)^2))/($B$9+2*(($A159+5)/100)*SQRT(1+$B$10^2)),0)&gt;0,(1/$B$17)*(IF(($B$9+2*(($A159+5)/100)*SQRT(1+$B$10^2))&gt;0,(($B$9 * (($A159+5)/100))+($B$10 * (($A159+5)/100)^2))/($B$9+2*(($A159+5)/100)*SQRT(1+$B$10^2)),0)^(2/3))*SQRT($B$16),0))</f>
        <v/>
      </c>
      <c r="H159" s="30" t="str">
        <f>IF(($A159+6)&gt;$B$11, "", IF(IF(($B$9+2*(($A159+6)/100)*SQRT(1+$B$10^2))&gt;0,(($B$9 * (($A159+6)/100))+($B$10 * (($A159+6)/100)^2))/($B$9+2*(($A159+6)/100)*SQRT(1+$B$10^2)),0)&gt;0,(1/$B$17)*(IF(($B$9+2*(($A159+6)/100)*SQRT(1+$B$10^2))&gt;0,(($B$9 * (($A159+6)/100))+($B$10 * (($A159+6)/100)^2))/($B$9+2*(($A159+6)/100)*SQRT(1+$B$10^2)),0)^(2/3))*SQRT($B$16),0))</f>
        <v/>
      </c>
      <c r="I159" s="30" t="str">
        <f>IF(($A159+7)&gt;$B$11, "", IF(IF(($B$9+2*(($A159+7)/100)*SQRT(1+$B$10^2))&gt;0,(($B$9 * (($A159+7)/100))+($B$10 * (($A159+7)/100)^2))/($B$9+2*(($A159+7)/100)*SQRT(1+$B$10^2)),0)&gt;0,(1/$B$17)*(IF(($B$9+2*(($A159+7)/100)*SQRT(1+$B$10^2))&gt;0,(($B$9 * (($A159+7)/100))+($B$10 * (($A159+7)/100)^2))/($B$9+2*(($A159+7)/100)*SQRT(1+$B$10^2)),0)^(2/3))*SQRT($B$16),0))</f>
        <v/>
      </c>
      <c r="J159" s="30" t="str">
        <f>IF(($A159+8)&gt;$B$11, "", IF(IF(($B$9+2*(($A159+8)/100)*SQRT(1+$B$10^2))&gt;0,(($B$9 * (($A159+8)/100))+($B$10 * (($A159+8)/100)^2))/($B$9+2*(($A159+8)/100)*SQRT(1+$B$10^2)),0)&gt;0,(1/$B$17)*(IF(($B$9+2*(($A159+8)/100)*SQRT(1+$B$10^2))&gt;0,(($B$9 * (($A159+8)/100))+($B$10 * (($A159+8)/100)^2))/($B$9+2*(($A159+8)/100)*SQRT(1+$B$10^2)),0)^(2/3))*SQRT($B$16),0))</f>
        <v/>
      </c>
      <c r="K159" s="30" t="str">
        <f>IF(($A159+9)&gt;$B$11, "", IF(IF(($B$9+2*(($A159+9)/100)*SQRT(1+$B$10^2))&gt;0,(($B$9 * (($A159+9)/100))+($B$10 * (($A159+9)/100)^2))/($B$9+2*(($A159+9)/100)*SQRT(1+$B$10^2)),0)&gt;0,(1/$B$17)*(IF(($B$9+2*(($A159+9)/100)*SQRT(1+$B$10^2))&gt;0,(($B$9 * (($A159+9)/100))+($B$10 * (($A159+9)/100)^2))/($B$9+2*(($A159+9)/100)*SQRT(1+$B$10^2)),0)^(2/3))*SQRT($B$16),0))</f>
        <v/>
      </c>
    </row>
    <row r="160">
      <c r="A160" s="11">
        <v>160</v>
      </c>
      <c r="B160" s="30" t="str">
        <f>IF(($A160+0)&gt;$B$11, "", IF(IF(($B$9+2*(($A160+0)/100)*SQRT(1+$B$10^2))&gt;0,(($B$9 * (($A160+0)/100))+($B$10 * (($A160+0)/100)^2))/($B$9+2*(($A160+0)/100)*SQRT(1+$B$10^2)),0)&gt;0,(1/$B$17)*(IF(($B$9+2*(($A160+0)/100)*SQRT(1+$B$10^2))&gt;0,(($B$9 * (($A160+0)/100))+($B$10 * (($A160+0)/100)^2))/($B$9+2*(($A160+0)/100)*SQRT(1+$B$10^2)),0)^(2/3))*SQRT($B$16),0))</f>
        <v/>
      </c>
      <c r="C160" s="30" t="str">
        <f>IF(($A160+1)&gt;$B$11, "", IF(IF(($B$9+2*(($A160+1)/100)*SQRT(1+$B$10^2))&gt;0,(($B$9 * (($A160+1)/100))+($B$10 * (($A160+1)/100)^2))/($B$9+2*(($A160+1)/100)*SQRT(1+$B$10^2)),0)&gt;0,(1/$B$17)*(IF(($B$9+2*(($A160+1)/100)*SQRT(1+$B$10^2))&gt;0,(($B$9 * (($A160+1)/100))+($B$10 * (($A160+1)/100)^2))/($B$9+2*(($A160+1)/100)*SQRT(1+$B$10^2)),0)^(2/3))*SQRT($B$16),0))</f>
        <v/>
      </c>
      <c r="D160" s="30" t="str">
        <f>IF(($A160+2)&gt;$B$11, "", IF(IF(($B$9+2*(($A160+2)/100)*SQRT(1+$B$10^2))&gt;0,(($B$9 * (($A160+2)/100))+($B$10 * (($A160+2)/100)^2))/($B$9+2*(($A160+2)/100)*SQRT(1+$B$10^2)),0)&gt;0,(1/$B$17)*(IF(($B$9+2*(($A160+2)/100)*SQRT(1+$B$10^2))&gt;0,(($B$9 * (($A160+2)/100))+($B$10 * (($A160+2)/100)^2))/($B$9+2*(($A160+2)/100)*SQRT(1+$B$10^2)),0)^(2/3))*SQRT($B$16),0))</f>
        <v/>
      </c>
      <c r="E160" s="30" t="str">
        <f>IF(($A160+3)&gt;$B$11, "", IF(IF(($B$9+2*(($A160+3)/100)*SQRT(1+$B$10^2))&gt;0,(($B$9 * (($A160+3)/100))+($B$10 * (($A160+3)/100)^2))/($B$9+2*(($A160+3)/100)*SQRT(1+$B$10^2)),0)&gt;0,(1/$B$17)*(IF(($B$9+2*(($A160+3)/100)*SQRT(1+$B$10^2))&gt;0,(($B$9 * (($A160+3)/100))+($B$10 * (($A160+3)/100)^2))/($B$9+2*(($A160+3)/100)*SQRT(1+$B$10^2)),0)^(2/3))*SQRT($B$16),0))</f>
        <v/>
      </c>
      <c r="F160" s="30" t="str">
        <f>IF(($A160+4)&gt;$B$11, "", IF(IF(($B$9+2*(($A160+4)/100)*SQRT(1+$B$10^2))&gt;0,(($B$9 * (($A160+4)/100))+($B$10 * (($A160+4)/100)^2))/($B$9+2*(($A160+4)/100)*SQRT(1+$B$10^2)),0)&gt;0,(1/$B$17)*(IF(($B$9+2*(($A160+4)/100)*SQRT(1+$B$10^2))&gt;0,(($B$9 * (($A160+4)/100))+($B$10 * (($A160+4)/100)^2))/($B$9+2*(($A160+4)/100)*SQRT(1+$B$10^2)),0)^(2/3))*SQRT($B$16),0))</f>
        <v/>
      </c>
      <c r="G160" s="30" t="str">
        <f>IF(($A160+5)&gt;$B$11, "", IF(IF(($B$9+2*(($A160+5)/100)*SQRT(1+$B$10^2))&gt;0,(($B$9 * (($A160+5)/100))+($B$10 * (($A160+5)/100)^2))/($B$9+2*(($A160+5)/100)*SQRT(1+$B$10^2)),0)&gt;0,(1/$B$17)*(IF(($B$9+2*(($A160+5)/100)*SQRT(1+$B$10^2))&gt;0,(($B$9 * (($A160+5)/100))+($B$10 * (($A160+5)/100)^2))/($B$9+2*(($A160+5)/100)*SQRT(1+$B$10^2)),0)^(2/3))*SQRT($B$16),0))</f>
        <v/>
      </c>
      <c r="H160" s="30" t="str">
        <f>IF(($A160+6)&gt;$B$11, "", IF(IF(($B$9+2*(($A160+6)/100)*SQRT(1+$B$10^2))&gt;0,(($B$9 * (($A160+6)/100))+($B$10 * (($A160+6)/100)^2))/($B$9+2*(($A160+6)/100)*SQRT(1+$B$10^2)),0)&gt;0,(1/$B$17)*(IF(($B$9+2*(($A160+6)/100)*SQRT(1+$B$10^2))&gt;0,(($B$9 * (($A160+6)/100))+($B$10 * (($A160+6)/100)^2))/($B$9+2*(($A160+6)/100)*SQRT(1+$B$10^2)),0)^(2/3))*SQRT($B$16),0))</f>
        <v/>
      </c>
      <c r="I160" s="30" t="str">
        <f>IF(($A160+7)&gt;$B$11, "", IF(IF(($B$9+2*(($A160+7)/100)*SQRT(1+$B$10^2))&gt;0,(($B$9 * (($A160+7)/100))+($B$10 * (($A160+7)/100)^2))/($B$9+2*(($A160+7)/100)*SQRT(1+$B$10^2)),0)&gt;0,(1/$B$17)*(IF(($B$9+2*(($A160+7)/100)*SQRT(1+$B$10^2))&gt;0,(($B$9 * (($A160+7)/100))+($B$10 * (($A160+7)/100)^2))/($B$9+2*(($A160+7)/100)*SQRT(1+$B$10^2)),0)^(2/3))*SQRT($B$16),0))</f>
        <v/>
      </c>
      <c r="J160" s="30" t="str">
        <f>IF(($A160+8)&gt;$B$11, "", IF(IF(($B$9+2*(($A160+8)/100)*SQRT(1+$B$10^2))&gt;0,(($B$9 * (($A160+8)/100))+($B$10 * (($A160+8)/100)^2))/($B$9+2*(($A160+8)/100)*SQRT(1+$B$10^2)),0)&gt;0,(1/$B$17)*(IF(($B$9+2*(($A160+8)/100)*SQRT(1+$B$10^2))&gt;0,(($B$9 * (($A160+8)/100))+($B$10 * (($A160+8)/100)^2))/($B$9+2*(($A160+8)/100)*SQRT(1+$B$10^2)),0)^(2/3))*SQRT($B$16),0))</f>
        <v/>
      </c>
      <c r="K160" s="30" t="str">
        <f>IF(($A160+9)&gt;$B$11, "", IF(IF(($B$9+2*(($A160+9)/100)*SQRT(1+$B$10^2))&gt;0,(($B$9 * (($A160+9)/100))+($B$10 * (($A160+9)/100)^2))/($B$9+2*(($A160+9)/100)*SQRT(1+$B$10^2)),0)&gt;0,(1/$B$17)*(IF(($B$9+2*(($A160+9)/100)*SQRT(1+$B$10^2))&gt;0,(($B$9 * (($A160+9)/100))+($B$10 * (($A160+9)/100)^2))/($B$9+2*(($A160+9)/100)*SQRT(1+$B$10^2)),0)^(2/3))*SQRT($B$16),0))</f>
        <v/>
      </c>
    </row>
    <row r="161">
      <c r="A161" s="11">
        <v>170</v>
      </c>
      <c r="B161" s="30" t="str">
        <f>IF(($A161+0)&gt;$B$11, "", IF(IF(($B$9+2*(($A161+0)/100)*SQRT(1+$B$10^2))&gt;0,(($B$9 * (($A161+0)/100))+($B$10 * (($A161+0)/100)^2))/($B$9+2*(($A161+0)/100)*SQRT(1+$B$10^2)),0)&gt;0,(1/$B$17)*(IF(($B$9+2*(($A161+0)/100)*SQRT(1+$B$10^2))&gt;0,(($B$9 * (($A161+0)/100))+($B$10 * (($A161+0)/100)^2))/($B$9+2*(($A161+0)/100)*SQRT(1+$B$10^2)),0)^(2/3))*SQRT($B$16),0))</f>
        <v/>
      </c>
      <c r="C161" s="30" t="str">
        <f>IF(($A161+1)&gt;$B$11, "", IF(IF(($B$9+2*(($A161+1)/100)*SQRT(1+$B$10^2))&gt;0,(($B$9 * (($A161+1)/100))+($B$10 * (($A161+1)/100)^2))/($B$9+2*(($A161+1)/100)*SQRT(1+$B$10^2)),0)&gt;0,(1/$B$17)*(IF(($B$9+2*(($A161+1)/100)*SQRT(1+$B$10^2))&gt;0,(($B$9 * (($A161+1)/100))+($B$10 * (($A161+1)/100)^2))/($B$9+2*(($A161+1)/100)*SQRT(1+$B$10^2)),0)^(2/3))*SQRT($B$16),0))</f>
        <v/>
      </c>
      <c r="D161" s="30" t="str">
        <f>IF(($A161+2)&gt;$B$11, "", IF(IF(($B$9+2*(($A161+2)/100)*SQRT(1+$B$10^2))&gt;0,(($B$9 * (($A161+2)/100))+($B$10 * (($A161+2)/100)^2))/($B$9+2*(($A161+2)/100)*SQRT(1+$B$10^2)),0)&gt;0,(1/$B$17)*(IF(($B$9+2*(($A161+2)/100)*SQRT(1+$B$10^2))&gt;0,(($B$9 * (($A161+2)/100))+($B$10 * (($A161+2)/100)^2))/($B$9+2*(($A161+2)/100)*SQRT(1+$B$10^2)),0)^(2/3))*SQRT($B$16),0))</f>
        <v/>
      </c>
      <c r="E161" s="30" t="str">
        <f>IF(($A161+3)&gt;$B$11, "", IF(IF(($B$9+2*(($A161+3)/100)*SQRT(1+$B$10^2))&gt;0,(($B$9 * (($A161+3)/100))+($B$10 * (($A161+3)/100)^2))/($B$9+2*(($A161+3)/100)*SQRT(1+$B$10^2)),0)&gt;0,(1/$B$17)*(IF(($B$9+2*(($A161+3)/100)*SQRT(1+$B$10^2))&gt;0,(($B$9 * (($A161+3)/100))+($B$10 * (($A161+3)/100)^2))/($B$9+2*(($A161+3)/100)*SQRT(1+$B$10^2)),0)^(2/3))*SQRT($B$16),0))</f>
        <v/>
      </c>
      <c r="F161" s="30" t="str">
        <f>IF(($A161+4)&gt;$B$11, "", IF(IF(($B$9+2*(($A161+4)/100)*SQRT(1+$B$10^2))&gt;0,(($B$9 * (($A161+4)/100))+($B$10 * (($A161+4)/100)^2))/($B$9+2*(($A161+4)/100)*SQRT(1+$B$10^2)),0)&gt;0,(1/$B$17)*(IF(($B$9+2*(($A161+4)/100)*SQRT(1+$B$10^2))&gt;0,(($B$9 * (($A161+4)/100))+($B$10 * (($A161+4)/100)^2))/($B$9+2*(($A161+4)/100)*SQRT(1+$B$10^2)),0)^(2/3))*SQRT($B$16),0))</f>
        <v/>
      </c>
      <c r="G161" s="30" t="str">
        <f>IF(($A161+5)&gt;$B$11, "", IF(IF(($B$9+2*(($A161+5)/100)*SQRT(1+$B$10^2))&gt;0,(($B$9 * (($A161+5)/100))+($B$10 * (($A161+5)/100)^2))/($B$9+2*(($A161+5)/100)*SQRT(1+$B$10^2)),0)&gt;0,(1/$B$17)*(IF(($B$9+2*(($A161+5)/100)*SQRT(1+$B$10^2))&gt;0,(($B$9 * (($A161+5)/100))+($B$10 * (($A161+5)/100)^2))/($B$9+2*(($A161+5)/100)*SQRT(1+$B$10^2)),0)^(2/3))*SQRT($B$16),0))</f>
        <v/>
      </c>
      <c r="H161" s="30" t="str">
        <f>IF(($A161+6)&gt;$B$11, "", IF(IF(($B$9+2*(($A161+6)/100)*SQRT(1+$B$10^2))&gt;0,(($B$9 * (($A161+6)/100))+($B$10 * (($A161+6)/100)^2))/($B$9+2*(($A161+6)/100)*SQRT(1+$B$10^2)),0)&gt;0,(1/$B$17)*(IF(($B$9+2*(($A161+6)/100)*SQRT(1+$B$10^2))&gt;0,(($B$9 * (($A161+6)/100))+($B$10 * (($A161+6)/100)^2))/($B$9+2*(($A161+6)/100)*SQRT(1+$B$10^2)),0)^(2/3))*SQRT($B$16),0))</f>
        <v/>
      </c>
      <c r="I161" s="30" t="str">
        <f>IF(($A161+7)&gt;$B$11, "", IF(IF(($B$9+2*(($A161+7)/100)*SQRT(1+$B$10^2))&gt;0,(($B$9 * (($A161+7)/100))+($B$10 * (($A161+7)/100)^2))/($B$9+2*(($A161+7)/100)*SQRT(1+$B$10^2)),0)&gt;0,(1/$B$17)*(IF(($B$9+2*(($A161+7)/100)*SQRT(1+$B$10^2))&gt;0,(($B$9 * (($A161+7)/100))+($B$10 * (($A161+7)/100)^2))/($B$9+2*(($A161+7)/100)*SQRT(1+$B$10^2)),0)^(2/3))*SQRT($B$16),0))</f>
        <v/>
      </c>
      <c r="J161" s="30" t="str">
        <f>IF(($A161+8)&gt;$B$11, "", IF(IF(($B$9+2*(($A161+8)/100)*SQRT(1+$B$10^2))&gt;0,(($B$9 * (($A161+8)/100))+($B$10 * (($A161+8)/100)^2))/($B$9+2*(($A161+8)/100)*SQRT(1+$B$10^2)),0)&gt;0,(1/$B$17)*(IF(($B$9+2*(($A161+8)/100)*SQRT(1+$B$10^2))&gt;0,(($B$9 * (($A161+8)/100))+($B$10 * (($A161+8)/100)^2))/($B$9+2*(($A161+8)/100)*SQRT(1+$B$10^2)),0)^(2/3))*SQRT($B$16),0))</f>
        <v/>
      </c>
      <c r="K161" s="30" t="str">
        <f>IF(($A161+9)&gt;$B$11, "", IF(IF(($B$9+2*(($A161+9)/100)*SQRT(1+$B$10^2))&gt;0,(($B$9 * (($A161+9)/100))+($B$10 * (($A161+9)/100)^2))/($B$9+2*(($A161+9)/100)*SQRT(1+$B$10^2)),0)&gt;0,(1/$B$17)*(IF(($B$9+2*(($A161+9)/100)*SQRT(1+$B$10^2))&gt;0,(($B$9 * (($A161+9)/100))+($B$10 * (($A161+9)/100)^2))/($B$9+2*(($A161+9)/100)*SQRT(1+$B$10^2)),0)^(2/3))*SQRT($B$16),0))</f>
        <v/>
      </c>
    </row>
    <row r="162">
      <c r="A162" s="11">
        <v>180</v>
      </c>
      <c r="B162" s="30" t="str">
        <f>IF(($A162+0)&gt;$B$11, "", IF(IF(($B$9+2*(($A162+0)/100)*SQRT(1+$B$10^2))&gt;0,(($B$9 * (($A162+0)/100))+($B$10 * (($A162+0)/100)^2))/($B$9+2*(($A162+0)/100)*SQRT(1+$B$10^2)),0)&gt;0,(1/$B$17)*(IF(($B$9+2*(($A162+0)/100)*SQRT(1+$B$10^2))&gt;0,(($B$9 * (($A162+0)/100))+($B$10 * (($A162+0)/100)^2))/($B$9+2*(($A162+0)/100)*SQRT(1+$B$10^2)),0)^(2/3))*SQRT($B$16),0))</f>
        <v/>
      </c>
      <c r="C162" s="30" t="str">
        <f>IF(($A162+1)&gt;$B$11, "", IF(IF(($B$9+2*(($A162+1)/100)*SQRT(1+$B$10^2))&gt;0,(($B$9 * (($A162+1)/100))+($B$10 * (($A162+1)/100)^2))/($B$9+2*(($A162+1)/100)*SQRT(1+$B$10^2)),0)&gt;0,(1/$B$17)*(IF(($B$9+2*(($A162+1)/100)*SQRT(1+$B$10^2))&gt;0,(($B$9 * (($A162+1)/100))+($B$10 * (($A162+1)/100)^2))/($B$9+2*(($A162+1)/100)*SQRT(1+$B$10^2)),0)^(2/3))*SQRT($B$16),0))</f>
        <v/>
      </c>
      <c r="D162" s="30" t="str">
        <f>IF(($A162+2)&gt;$B$11, "", IF(IF(($B$9+2*(($A162+2)/100)*SQRT(1+$B$10^2))&gt;0,(($B$9 * (($A162+2)/100))+($B$10 * (($A162+2)/100)^2))/($B$9+2*(($A162+2)/100)*SQRT(1+$B$10^2)),0)&gt;0,(1/$B$17)*(IF(($B$9+2*(($A162+2)/100)*SQRT(1+$B$10^2))&gt;0,(($B$9 * (($A162+2)/100))+($B$10 * (($A162+2)/100)^2))/($B$9+2*(($A162+2)/100)*SQRT(1+$B$10^2)),0)^(2/3))*SQRT($B$16),0))</f>
        <v/>
      </c>
      <c r="E162" s="30" t="str">
        <f>IF(($A162+3)&gt;$B$11, "", IF(IF(($B$9+2*(($A162+3)/100)*SQRT(1+$B$10^2))&gt;0,(($B$9 * (($A162+3)/100))+($B$10 * (($A162+3)/100)^2))/($B$9+2*(($A162+3)/100)*SQRT(1+$B$10^2)),0)&gt;0,(1/$B$17)*(IF(($B$9+2*(($A162+3)/100)*SQRT(1+$B$10^2))&gt;0,(($B$9 * (($A162+3)/100))+($B$10 * (($A162+3)/100)^2))/($B$9+2*(($A162+3)/100)*SQRT(1+$B$10^2)),0)^(2/3))*SQRT($B$16),0))</f>
        <v/>
      </c>
      <c r="F162" s="30" t="str">
        <f>IF(($A162+4)&gt;$B$11, "", IF(IF(($B$9+2*(($A162+4)/100)*SQRT(1+$B$10^2))&gt;0,(($B$9 * (($A162+4)/100))+($B$10 * (($A162+4)/100)^2))/($B$9+2*(($A162+4)/100)*SQRT(1+$B$10^2)),0)&gt;0,(1/$B$17)*(IF(($B$9+2*(($A162+4)/100)*SQRT(1+$B$10^2))&gt;0,(($B$9 * (($A162+4)/100))+($B$10 * (($A162+4)/100)^2))/($B$9+2*(($A162+4)/100)*SQRT(1+$B$10^2)),0)^(2/3))*SQRT($B$16),0))</f>
        <v/>
      </c>
      <c r="G162" s="30" t="str">
        <f>IF(($A162+5)&gt;$B$11, "", IF(IF(($B$9+2*(($A162+5)/100)*SQRT(1+$B$10^2))&gt;0,(($B$9 * (($A162+5)/100))+($B$10 * (($A162+5)/100)^2))/($B$9+2*(($A162+5)/100)*SQRT(1+$B$10^2)),0)&gt;0,(1/$B$17)*(IF(($B$9+2*(($A162+5)/100)*SQRT(1+$B$10^2))&gt;0,(($B$9 * (($A162+5)/100))+($B$10 * (($A162+5)/100)^2))/($B$9+2*(($A162+5)/100)*SQRT(1+$B$10^2)),0)^(2/3))*SQRT($B$16),0))</f>
        <v/>
      </c>
      <c r="H162" s="30" t="str">
        <f>IF(($A162+6)&gt;$B$11, "", IF(IF(($B$9+2*(($A162+6)/100)*SQRT(1+$B$10^2))&gt;0,(($B$9 * (($A162+6)/100))+($B$10 * (($A162+6)/100)^2))/($B$9+2*(($A162+6)/100)*SQRT(1+$B$10^2)),0)&gt;0,(1/$B$17)*(IF(($B$9+2*(($A162+6)/100)*SQRT(1+$B$10^2))&gt;0,(($B$9 * (($A162+6)/100))+($B$10 * (($A162+6)/100)^2))/($B$9+2*(($A162+6)/100)*SQRT(1+$B$10^2)),0)^(2/3))*SQRT($B$16),0))</f>
        <v/>
      </c>
      <c r="I162" s="30" t="str">
        <f>IF(($A162+7)&gt;$B$11, "", IF(IF(($B$9+2*(($A162+7)/100)*SQRT(1+$B$10^2))&gt;0,(($B$9 * (($A162+7)/100))+($B$10 * (($A162+7)/100)^2))/($B$9+2*(($A162+7)/100)*SQRT(1+$B$10^2)),0)&gt;0,(1/$B$17)*(IF(($B$9+2*(($A162+7)/100)*SQRT(1+$B$10^2))&gt;0,(($B$9 * (($A162+7)/100))+($B$10 * (($A162+7)/100)^2))/($B$9+2*(($A162+7)/100)*SQRT(1+$B$10^2)),0)^(2/3))*SQRT($B$16),0))</f>
        <v/>
      </c>
      <c r="J162" s="30" t="str">
        <f>IF(($A162+8)&gt;$B$11, "", IF(IF(($B$9+2*(($A162+8)/100)*SQRT(1+$B$10^2))&gt;0,(($B$9 * (($A162+8)/100))+($B$10 * (($A162+8)/100)^2))/($B$9+2*(($A162+8)/100)*SQRT(1+$B$10^2)),0)&gt;0,(1/$B$17)*(IF(($B$9+2*(($A162+8)/100)*SQRT(1+$B$10^2))&gt;0,(($B$9 * (($A162+8)/100))+($B$10 * (($A162+8)/100)^2))/($B$9+2*(($A162+8)/100)*SQRT(1+$B$10^2)),0)^(2/3))*SQRT($B$16),0))</f>
        <v/>
      </c>
      <c r="K162" s="30" t="str">
        <f>IF(($A162+9)&gt;$B$11, "", IF(IF(($B$9+2*(($A162+9)/100)*SQRT(1+$B$10^2))&gt;0,(($B$9 * (($A162+9)/100))+($B$10 * (($A162+9)/100)^2))/($B$9+2*(($A162+9)/100)*SQRT(1+$B$10^2)),0)&gt;0,(1/$B$17)*(IF(($B$9+2*(($A162+9)/100)*SQRT(1+$B$10^2))&gt;0,(($B$9 * (($A162+9)/100))+($B$10 * (($A162+9)/100)^2))/($B$9+2*(($A162+9)/100)*SQRT(1+$B$10^2)),0)^(2/3))*SQRT($B$16),0))</f>
        <v/>
      </c>
    </row>
    <row r="163">
      <c r="A163" s="11">
        <v>190</v>
      </c>
      <c r="B163" s="30" t="str">
        <f>IF(($A163+0)&gt;$B$11, "", IF(IF(($B$9+2*(($A163+0)/100)*SQRT(1+$B$10^2))&gt;0,(($B$9 * (($A163+0)/100))+($B$10 * (($A163+0)/100)^2))/($B$9+2*(($A163+0)/100)*SQRT(1+$B$10^2)),0)&gt;0,(1/$B$17)*(IF(($B$9+2*(($A163+0)/100)*SQRT(1+$B$10^2))&gt;0,(($B$9 * (($A163+0)/100))+($B$10 * (($A163+0)/100)^2))/($B$9+2*(($A163+0)/100)*SQRT(1+$B$10^2)),0)^(2/3))*SQRT($B$16),0))</f>
        <v/>
      </c>
      <c r="C163" s="30" t="str">
        <f>IF(($A163+1)&gt;$B$11, "", IF(IF(($B$9+2*(($A163+1)/100)*SQRT(1+$B$10^2))&gt;0,(($B$9 * (($A163+1)/100))+($B$10 * (($A163+1)/100)^2))/($B$9+2*(($A163+1)/100)*SQRT(1+$B$10^2)),0)&gt;0,(1/$B$17)*(IF(($B$9+2*(($A163+1)/100)*SQRT(1+$B$10^2))&gt;0,(($B$9 * (($A163+1)/100))+($B$10 * (($A163+1)/100)^2))/($B$9+2*(($A163+1)/100)*SQRT(1+$B$10^2)),0)^(2/3))*SQRT($B$16),0))</f>
        <v/>
      </c>
      <c r="D163" s="30" t="str">
        <f>IF(($A163+2)&gt;$B$11, "", IF(IF(($B$9+2*(($A163+2)/100)*SQRT(1+$B$10^2))&gt;0,(($B$9 * (($A163+2)/100))+($B$10 * (($A163+2)/100)^2))/($B$9+2*(($A163+2)/100)*SQRT(1+$B$10^2)),0)&gt;0,(1/$B$17)*(IF(($B$9+2*(($A163+2)/100)*SQRT(1+$B$10^2))&gt;0,(($B$9 * (($A163+2)/100))+($B$10 * (($A163+2)/100)^2))/($B$9+2*(($A163+2)/100)*SQRT(1+$B$10^2)),0)^(2/3))*SQRT($B$16),0))</f>
        <v/>
      </c>
      <c r="E163" s="30" t="str">
        <f>IF(($A163+3)&gt;$B$11, "", IF(IF(($B$9+2*(($A163+3)/100)*SQRT(1+$B$10^2))&gt;0,(($B$9 * (($A163+3)/100))+($B$10 * (($A163+3)/100)^2))/($B$9+2*(($A163+3)/100)*SQRT(1+$B$10^2)),0)&gt;0,(1/$B$17)*(IF(($B$9+2*(($A163+3)/100)*SQRT(1+$B$10^2))&gt;0,(($B$9 * (($A163+3)/100))+($B$10 * (($A163+3)/100)^2))/($B$9+2*(($A163+3)/100)*SQRT(1+$B$10^2)),0)^(2/3))*SQRT($B$16),0))</f>
        <v/>
      </c>
      <c r="F163" s="30" t="str">
        <f>IF(($A163+4)&gt;$B$11, "", IF(IF(($B$9+2*(($A163+4)/100)*SQRT(1+$B$10^2))&gt;0,(($B$9 * (($A163+4)/100))+($B$10 * (($A163+4)/100)^2))/($B$9+2*(($A163+4)/100)*SQRT(1+$B$10^2)),0)&gt;0,(1/$B$17)*(IF(($B$9+2*(($A163+4)/100)*SQRT(1+$B$10^2))&gt;0,(($B$9 * (($A163+4)/100))+($B$10 * (($A163+4)/100)^2))/($B$9+2*(($A163+4)/100)*SQRT(1+$B$10^2)),0)^(2/3))*SQRT($B$16),0))</f>
        <v/>
      </c>
      <c r="G163" s="30" t="str">
        <f>IF(($A163+5)&gt;$B$11, "", IF(IF(($B$9+2*(($A163+5)/100)*SQRT(1+$B$10^2))&gt;0,(($B$9 * (($A163+5)/100))+($B$10 * (($A163+5)/100)^2))/($B$9+2*(($A163+5)/100)*SQRT(1+$B$10^2)),0)&gt;0,(1/$B$17)*(IF(($B$9+2*(($A163+5)/100)*SQRT(1+$B$10^2))&gt;0,(($B$9 * (($A163+5)/100))+($B$10 * (($A163+5)/100)^2))/($B$9+2*(($A163+5)/100)*SQRT(1+$B$10^2)),0)^(2/3))*SQRT($B$16),0))</f>
        <v/>
      </c>
      <c r="H163" s="30" t="str">
        <f>IF(($A163+6)&gt;$B$11, "", IF(IF(($B$9+2*(($A163+6)/100)*SQRT(1+$B$10^2))&gt;0,(($B$9 * (($A163+6)/100))+($B$10 * (($A163+6)/100)^2))/($B$9+2*(($A163+6)/100)*SQRT(1+$B$10^2)),0)&gt;0,(1/$B$17)*(IF(($B$9+2*(($A163+6)/100)*SQRT(1+$B$10^2))&gt;0,(($B$9 * (($A163+6)/100))+($B$10 * (($A163+6)/100)^2))/($B$9+2*(($A163+6)/100)*SQRT(1+$B$10^2)),0)^(2/3))*SQRT($B$16),0))</f>
        <v/>
      </c>
      <c r="I163" s="30" t="str">
        <f>IF(($A163+7)&gt;$B$11, "", IF(IF(($B$9+2*(($A163+7)/100)*SQRT(1+$B$10^2))&gt;0,(($B$9 * (($A163+7)/100))+($B$10 * (($A163+7)/100)^2))/($B$9+2*(($A163+7)/100)*SQRT(1+$B$10^2)),0)&gt;0,(1/$B$17)*(IF(($B$9+2*(($A163+7)/100)*SQRT(1+$B$10^2))&gt;0,(($B$9 * (($A163+7)/100))+($B$10 * (($A163+7)/100)^2))/($B$9+2*(($A163+7)/100)*SQRT(1+$B$10^2)),0)^(2/3))*SQRT($B$16),0))</f>
        <v/>
      </c>
      <c r="J163" s="30" t="str">
        <f>IF(($A163+8)&gt;$B$11, "", IF(IF(($B$9+2*(($A163+8)/100)*SQRT(1+$B$10^2))&gt;0,(($B$9 * (($A163+8)/100))+($B$10 * (($A163+8)/100)^2))/($B$9+2*(($A163+8)/100)*SQRT(1+$B$10^2)),0)&gt;0,(1/$B$17)*(IF(($B$9+2*(($A163+8)/100)*SQRT(1+$B$10^2))&gt;0,(($B$9 * (($A163+8)/100))+($B$10 * (($A163+8)/100)^2))/($B$9+2*(($A163+8)/100)*SQRT(1+$B$10^2)),0)^(2/3))*SQRT($B$16),0))</f>
        <v/>
      </c>
      <c r="K163" s="30" t="str">
        <f>IF(($A163+9)&gt;$B$11, "", IF(IF(($B$9+2*(($A163+9)/100)*SQRT(1+$B$10^2))&gt;0,(($B$9 * (($A163+9)/100))+($B$10 * (($A163+9)/100)^2))/($B$9+2*(($A163+9)/100)*SQRT(1+$B$10^2)),0)&gt;0,(1/$B$17)*(IF(($B$9+2*(($A163+9)/100)*SQRT(1+$B$10^2))&gt;0,(($B$9 * (($A163+9)/100))+($B$10 * (($A163+9)/100)^2))/($B$9+2*(($A163+9)/100)*SQRT(1+$B$10^2)),0)^(2/3))*SQRT($B$16),0))</f>
        <v/>
      </c>
    </row>
    <row r="164">
      <c r="A164" s="11">
        <v>200</v>
      </c>
      <c r="B164" s="30" t="str">
        <f>IF(($A164+0)&gt;$B$11, "", IF(IF(($B$9+2*(($A164+0)/100)*SQRT(1+$B$10^2))&gt;0,(($B$9 * (($A164+0)/100))+($B$10 * (($A164+0)/100)^2))/($B$9+2*(($A164+0)/100)*SQRT(1+$B$10^2)),0)&gt;0,(1/$B$17)*(IF(($B$9+2*(($A164+0)/100)*SQRT(1+$B$10^2))&gt;0,(($B$9 * (($A164+0)/100))+($B$10 * (($A164+0)/100)^2))/($B$9+2*(($A164+0)/100)*SQRT(1+$B$10^2)),0)^(2/3))*SQRT($B$16),0))</f>
        <v/>
      </c>
      <c r="C164" s="30" t="str">
        <f>IF(($A164+1)&gt;$B$11, "", IF(IF(($B$9+2*(($A164+1)/100)*SQRT(1+$B$10^2))&gt;0,(($B$9 * (($A164+1)/100))+($B$10 * (($A164+1)/100)^2))/($B$9+2*(($A164+1)/100)*SQRT(1+$B$10^2)),0)&gt;0,(1/$B$17)*(IF(($B$9+2*(($A164+1)/100)*SQRT(1+$B$10^2))&gt;0,(($B$9 * (($A164+1)/100))+($B$10 * (($A164+1)/100)^2))/($B$9+2*(($A164+1)/100)*SQRT(1+$B$10^2)),0)^(2/3))*SQRT($B$16),0))</f>
        <v/>
      </c>
      <c r="D164" s="30" t="str">
        <f>IF(($A164+2)&gt;$B$11, "", IF(IF(($B$9+2*(($A164+2)/100)*SQRT(1+$B$10^2))&gt;0,(($B$9 * (($A164+2)/100))+($B$10 * (($A164+2)/100)^2))/($B$9+2*(($A164+2)/100)*SQRT(1+$B$10^2)),0)&gt;0,(1/$B$17)*(IF(($B$9+2*(($A164+2)/100)*SQRT(1+$B$10^2))&gt;0,(($B$9 * (($A164+2)/100))+($B$10 * (($A164+2)/100)^2))/($B$9+2*(($A164+2)/100)*SQRT(1+$B$10^2)),0)^(2/3))*SQRT($B$16),0))</f>
        <v/>
      </c>
      <c r="E164" s="30" t="str">
        <f>IF(($A164+3)&gt;$B$11, "", IF(IF(($B$9+2*(($A164+3)/100)*SQRT(1+$B$10^2))&gt;0,(($B$9 * (($A164+3)/100))+($B$10 * (($A164+3)/100)^2))/($B$9+2*(($A164+3)/100)*SQRT(1+$B$10^2)),0)&gt;0,(1/$B$17)*(IF(($B$9+2*(($A164+3)/100)*SQRT(1+$B$10^2))&gt;0,(($B$9 * (($A164+3)/100))+($B$10 * (($A164+3)/100)^2))/($B$9+2*(($A164+3)/100)*SQRT(1+$B$10^2)),0)^(2/3))*SQRT($B$16),0))</f>
        <v/>
      </c>
      <c r="F164" s="30" t="str">
        <f>IF(($A164+4)&gt;$B$11, "", IF(IF(($B$9+2*(($A164+4)/100)*SQRT(1+$B$10^2))&gt;0,(($B$9 * (($A164+4)/100))+($B$10 * (($A164+4)/100)^2))/($B$9+2*(($A164+4)/100)*SQRT(1+$B$10^2)),0)&gt;0,(1/$B$17)*(IF(($B$9+2*(($A164+4)/100)*SQRT(1+$B$10^2))&gt;0,(($B$9 * (($A164+4)/100))+($B$10 * (($A164+4)/100)^2))/($B$9+2*(($A164+4)/100)*SQRT(1+$B$10^2)),0)^(2/3))*SQRT($B$16),0))</f>
        <v/>
      </c>
      <c r="G164" s="30" t="str">
        <f>IF(($A164+5)&gt;$B$11, "", IF(IF(($B$9+2*(($A164+5)/100)*SQRT(1+$B$10^2))&gt;0,(($B$9 * (($A164+5)/100))+($B$10 * (($A164+5)/100)^2))/($B$9+2*(($A164+5)/100)*SQRT(1+$B$10^2)),0)&gt;0,(1/$B$17)*(IF(($B$9+2*(($A164+5)/100)*SQRT(1+$B$10^2))&gt;0,(($B$9 * (($A164+5)/100))+($B$10 * (($A164+5)/100)^2))/($B$9+2*(($A164+5)/100)*SQRT(1+$B$10^2)),0)^(2/3))*SQRT($B$16),0))</f>
        <v/>
      </c>
      <c r="H164" s="30" t="str">
        <f>IF(($A164+6)&gt;$B$11, "", IF(IF(($B$9+2*(($A164+6)/100)*SQRT(1+$B$10^2))&gt;0,(($B$9 * (($A164+6)/100))+($B$10 * (($A164+6)/100)^2))/($B$9+2*(($A164+6)/100)*SQRT(1+$B$10^2)),0)&gt;0,(1/$B$17)*(IF(($B$9+2*(($A164+6)/100)*SQRT(1+$B$10^2))&gt;0,(($B$9 * (($A164+6)/100))+($B$10 * (($A164+6)/100)^2))/($B$9+2*(($A164+6)/100)*SQRT(1+$B$10^2)),0)^(2/3))*SQRT($B$16),0))</f>
        <v/>
      </c>
      <c r="I164" s="30" t="str">
        <f>IF(($A164+7)&gt;$B$11, "", IF(IF(($B$9+2*(($A164+7)/100)*SQRT(1+$B$10^2))&gt;0,(($B$9 * (($A164+7)/100))+($B$10 * (($A164+7)/100)^2))/($B$9+2*(($A164+7)/100)*SQRT(1+$B$10^2)),0)&gt;0,(1/$B$17)*(IF(($B$9+2*(($A164+7)/100)*SQRT(1+$B$10^2))&gt;0,(($B$9 * (($A164+7)/100))+($B$10 * (($A164+7)/100)^2))/($B$9+2*(($A164+7)/100)*SQRT(1+$B$10^2)),0)^(2/3))*SQRT($B$16),0))</f>
        <v/>
      </c>
      <c r="J164" s="30" t="str">
        <f>IF(($A164+8)&gt;$B$11, "", IF(IF(($B$9+2*(($A164+8)/100)*SQRT(1+$B$10^2))&gt;0,(($B$9 * (($A164+8)/100))+($B$10 * (($A164+8)/100)^2))/($B$9+2*(($A164+8)/100)*SQRT(1+$B$10^2)),0)&gt;0,(1/$B$17)*(IF(($B$9+2*(($A164+8)/100)*SQRT(1+$B$10^2))&gt;0,(($B$9 * (($A164+8)/100))+($B$10 * (($A164+8)/100)^2))/($B$9+2*(($A164+8)/100)*SQRT(1+$B$10^2)),0)^(2/3))*SQRT($B$16),0))</f>
        <v/>
      </c>
      <c r="K164" s="30" t="str">
        <f>IF(($A164+9)&gt;$B$11, "", IF(IF(($B$9+2*(($A164+9)/100)*SQRT(1+$B$10^2))&gt;0,(($B$9 * (($A164+9)/100))+($B$10 * (($A164+9)/100)^2))/($B$9+2*(($A164+9)/100)*SQRT(1+$B$10^2)),0)&gt;0,(1/$B$17)*(IF(($B$9+2*(($A164+9)/100)*SQRT(1+$B$10^2))&gt;0,(($B$9 * (($A164+9)/100))+($B$10 * (($A164+9)/100)^2))/($B$9+2*(($A164+9)/100)*SQRT(1+$B$10^2)),0)^(2/3))*SQRT($B$16),0))</f>
        <v/>
      </c>
    </row>
    <row r="165">
      <c r="A165" s="11">
        <v>210</v>
      </c>
      <c r="B165" s="30" t="str">
        <f>IF(($A165+0)&gt;$B$11, "", IF(IF(($B$9+2*(($A165+0)/100)*SQRT(1+$B$10^2))&gt;0,(($B$9 * (($A165+0)/100))+($B$10 * (($A165+0)/100)^2))/($B$9+2*(($A165+0)/100)*SQRT(1+$B$10^2)),0)&gt;0,(1/$B$17)*(IF(($B$9+2*(($A165+0)/100)*SQRT(1+$B$10^2))&gt;0,(($B$9 * (($A165+0)/100))+($B$10 * (($A165+0)/100)^2))/($B$9+2*(($A165+0)/100)*SQRT(1+$B$10^2)),0)^(2/3))*SQRT($B$16),0))</f>
        <v/>
      </c>
      <c r="C165" s="30" t="str">
        <f>IF(($A165+1)&gt;$B$11, "", IF(IF(($B$9+2*(($A165+1)/100)*SQRT(1+$B$10^2))&gt;0,(($B$9 * (($A165+1)/100))+($B$10 * (($A165+1)/100)^2))/($B$9+2*(($A165+1)/100)*SQRT(1+$B$10^2)),0)&gt;0,(1/$B$17)*(IF(($B$9+2*(($A165+1)/100)*SQRT(1+$B$10^2))&gt;0,(($B$9 * (($A165+1)/100))+($B$10 * (($A165+1)/100)^2))/($B$9+2*(($A165+1)/100)*SQRT(1+$B$10^2)),0)^(2/3))*SQRT($B$16),0))</f>
        <v/>
      </c>
      <c r="D165" s="30" t="str">
        <f>IF(($A165+2)&gt;$B$11, "", IF(IF(($B$9+2*(($A165+2)/100)*SQRT(1+$B$10^2))&gt;0,(($B$9 * (($A165+2)/100))+($B$10 * (($A165+2)/100)^2))/($B$9+2*(($A165+2)/100)*SQRT(1+$B$10^2)),0)&gt;0,(1/$B$17)*(IF(($B$9+2*(($A165+2)/100)*SQRT(1+$B$10^2))&gt;0,(($B$9 * (($A165+2)/100))+($B$10 * (($A165+2)/100)^2))/($B$9+2*(($A165+2)/100)*SQRT(1+$B$10^2)),0)^(2/3))*SQRT($B$16),0))</f>
        <v/>
      </c>
      <c r="E165" s="30" t="str">
        <f>IF(($A165+3)&gt;$B$11, "", IF(IF(($B$9+2*(($A165+3)/100)*SQRT(1+$B$10^2))&gt;0,(($B$9 * (($A165+3)/100))+($B$10 * (($A165+3)/100)^2))/($B$9+2*(($A165+3)/100)*SQRT(1+$B$10^2)),0)&gt;0,(1/$B$17)*(IF(($B$9+2*(($A165+3)/100)*SQRT(1+$B$10^2))&gt;0,(($B$9 * (($A165+3)/100))+($B$10 * (($A165+3)/100)^2))/($B$9+2*(($A165+3)/100)*SQRT(1+$B$10^2)),0)^(2/3))*SQRT($B$16),0))</f>
        <v/>
      </c>
      <c r="F165" s="30" t="str">
        <f>IF(($A165+4)&gt;$B$11, "", IF(IF(($B$9+2*(($A165+4)/100)*SQRT(1+$B$10^2))&gt;0,(($B$9 * (($A165+4)/100))+($B$10 * (($A165+4)/100)^2))/($B$9+2*(($A165+4)/100)*SQRT(1+$B$10^2)),0)&gt;0,(1/$B$17)*(IF(($B$9+2*(($A165+4)/100)*SQRT(1+$B$10^2))&gt;0,(($B$9 * (($A165+4)/100))+($B$10 * (($A165+4)/100)^2))/($B$9+2*(($A165+4)/100)*SQRT(1+$B$10^2)),0)^(2/3))*SQRT($B$16),0))</f>
        <v/>
      </c>
      <c r="G165" s="30" t="str">
        <f>IF(($A165+5)&gt;$B$11, "", IF(IF(($B$9+2*(($A165+5)/100)*SQRT(1+$B$10^2))&gt;0,(($B$9 * (($A165+5)/100))+($B$10 * (($A165+5)/100)^2))/($B$9+2*(($A165+5)/100)*SQRT(1+$B$10^2)),0)&gt;0,(1/$B$17)*(IF(($B$9+2*(($A165+5)/100)*SQRT(1+$B$10^2))&gt;0,(($B$9 * (($A165+5)/100))+($B$10 * (($A165+5)/100)^2))/($B$9+2*(($A165+5)/100)*SQRT(1+$B$10^2)),0)^(2/3))*SQRT($B$16),0))</f>
        <v/>
      </c>
      <c r="H165" s="30" t="str">
        <f>IF(($A165+6)&gt;$B$11, "", IF(IF(($B$9+2*(($A165+6)/100)*SQRT(1+$B$10^2))&gt;0,(($B$9 * (($A165+6)/100))+($B$10 * (($A165+6)/100)^2))/($B$9+2*(($A165+6)/100)*SQRT(1+$B$10^2)),0)&gt;0,(1/$B$17)*(IF(($B$9+2*(($A165+6)/100)*SQRT(1+$B$10^2))&gt;0,(($B$9 * (($A165+6)/100))+($B$10 * (($A165+6)/100)^2))/($B$9+2*(($A165+6)/100)*SQRT(1+$B$10^2)),0)^(2/3))*SQRT($B$16),0))</f>
        <v/>
      </c>
      <c r="I165" s="30" t="str">
        <f>IF(($A165+7)&gt;$B$11, "", IF(IF(($B$9+2*(($A165+7)/100)*SQRT(1+$B$10^2))&gt;0,(($B$9 * (($A165+7)/100))+($B$10 * (($A165+7)/100)^2))/($B$9+2*(($A165+7)/100)*SQRT(1+$B$10^2)),0)&gt;0,(1/$B$17)*(IF(($B$9+2*(($A165+7)/100)*SQRT(1+$B$10^2))&gt;0,(($B$9 * (($A165+7)/100))+($B$10 * (($A165+7)/100)^2))/($B$9+2*(($A165+7)/100)*SQRT(1+$B$10^2)),0)^(2/3))*SQRT($B$16),0))</f>
        <v/>
      </c>
      <c r="J165" s="30" t="str">
        <f>IF(($A165+8)&gt;$B$11, "", IF(IF(($B$9+2*(($A165+8)/100)*SQRT(1+$B$10^2))&gt;0,(($B$9 * (($A165+8)/100))+($B$10 * (($A165+8)/100)^2))/($B$9+2*(($A165+8)/100)*SQRT(1+$B$10^2)),0)&gt;0,(1/$B$17)*(IF(($B$9+2*(($A165+8)/100)*SQRT(1+$B$10^2))&gt;0,(($B$9 * (($A165+8)/100))+($B$10 * (($A165+8)/100)^2))/($B$9+2*(($A165+8)/100)*SQRT(1+$B$10^2)),0)^(2/3))*SQRT($B$16),0))</f>
        <v/>
      </c>
      <c r="K165" s="30" t="str">
        <f>IF(($A165+9)&gt;$B$11, "", IF(IF(($B$9+2*(($A165+9)/100)*SQRT(1+$B$10^2))&gt;0,(($B$9 * (($A165+9)/100))+($B$10 * (($A165+9)/100)^2))/($B$9+2*(($A165+9)/100)*SQRT(1+$B$10^2)),0)&gt;0,(1/$B$17)*(IF(($B$9+2*(($A165+9)/100)*SQRT(1+$B$10^2))&gt;0,(($B$9 * (($A165+9)/100))+($B$10 * (($A165+9)/100)^2))/($B$9+2*(($A165+9)/100)*SQRT(1+$B$10^2)),0)^(2/3))*SQRT($B$16),0))</f>
        <v/>
      </c>
    </row>
    <row r="166">
      <c r="A166" s="11">
        <v>220</v>
      </c>
      <c r="B166" s="30" t="str">
        <f>IF(($A166+0)&gt;$B$11, "", IF(IF(($B$9+2*(($A166+0)/100)*SQRT(1+$B$10^2))&gt;0,(($B$9 * (($A166+0)/100))+($B$10 * (($A166+0)/100)^2))/($B$9+2*(($A166+0)/100)*SQRT(1+$B$10^2)),0)&gt;0,(1/$B$17)*(IF(($B$9+2*(($A166+0)/100)*SQRT(1+$B$10^2))&gt;0,(($B$9 * (($A166+0)/100))+($B$10 * (($A166+0)/100)^2))/($B$9+2*(($A166+0)/100)*SQRT(1+$B$10^2)),0)^(2/3))*SQRT($B$16),0))</f>
        <v/>
      </c>
      <c r="C166" s="30" t="str">
        <f>IF(($A166+1)&gt;$B$11, "", IF(IF(($B$9+2*(($A166+1)/100)*SQRT(1+$B$10^2))&gt;0,(($B$9 * (($A166+1)/100))+($B$10 * (($A166+1)/100)^2))/($B$9+2*(($A166+1)/100)*SQRT(1+$B$10^2)),0)&gt;0,(1/$B$17)*(IF(($B$9+2*(($A166+1)/100)*SQRT(1+$B$10^2))&gt;0,(($B$9 * (($A166+1)/100))+($B$10 * (($A166+1)/100)^2))/($B$9+2*(($A166+1)/100)*SQRT(1+$B$10^2)),0)^(2/3))*SQRT($B$16),0))</f>
        <v/>
      </c>
      <c r="D166" s="30" t="str">
        <f>IF(($A166+2)&gt;$B$11, "", IF(IF(($B$9+2*(($A166+2)/100)*SQRT(1+$B$10^2))&gt;0,(($B$9 * (($A166+2)/100))+($B$10 * (($A166+2)/100)^2))/($B$9+2*(($A166+2)/100)*SQRT(1+$B$10^2)),0)&gt;0,(1/$B$17)*(IF(($B$9+2*(($A166+2)/100)*SQRT(1+$B$10^2))&gt;0,(($B$9 * (($A166+2)/100))+($B$10 * (($A166+2)/100)^2))/($B$9+2*(($A166+2)/100)*SQRT(1+$B$10^2)),0)^(2/3))*SQRT($B$16),0))</f>
        <v/>
      </c>
      <c r="E166" s="30" t="str">
        <f>IF(($A166+3)&gt;$B$11, "", IF(IF(($B$9+2*(($A166+3)/100)*SQRT(1+$B$10^2))&gt;0,(($B$9 * (($A166+3)/100))+($B$10 * (($A166+3)/100)^2))/($B$9+2*(($A166+3)/100)*SQRT(1+$B$10^2)),0)&gt;0,(1/$B$17)*(IF(($B$9+2*(($A166+3)/100)*SQRT(1+$B$10^2))&gt;0,(($B$9 * (($A166+3)/100))+($B$10 * (($A166+3)/100)^2))/($B$9+2*(($A166+3)/100)*SQRT(1+$B$10^2)),0)^(2/3))*SQRT($B$16),0))</f>
        <v/>
      </c>
      <c r="F166" s="30" t="str">
        <f>IF(($A166+4)&gt;$B$11, "", IF(IF(($B$9+2*(($A166+4)/100)*SQRT(1+$B$10^2))&gt;0,(($B$9 * (($A166+4)/100))+($B$10 * (($A166+4)/100)^2))/($B$9+2*(($A166+4)/100)*SQRT(1+$B$10^2)),0)&gt;0,(1/$B$17)*(IF(($B$9+2*(($A166+4)/100)*SQRT(1+$B$10^2))&gt;0,(($B$9 * (($A166+4)/100))+($B$10 * (($A166+4)/100)^2))/($B$9+2*(($A166+4)/100)*SQRT(1+$B$10^2)),0)^(2/3))*SQRT($B$16),0))</f>
        <v/>
      </c>
      <c r="G166" s="30" t="str">
        <f>IF(($A166+5)&gt;$B$11, "", IF(IF(($B$9+2*(($A166+5)/100)*SQRT(1+$B$10^2))&gt;0,(($B$9 * (($A166+5)/100))+($B$10 * (($A166+5)/100)^2))/($B$9+2*(($A166+5)/100)*SQRT(1+$B$10^2)),0)&gt;0,(1/$B$17)*(IF(($B$9+2*(($A166+5)/100)*SQRT(1+$B$10^2))&gt;0,(($B$9 * (($A166+5)/100))+($B$10 * (($A166+5)/100)^2))/($B$9+2*(($A166+5)/100)*SQRT(1+$B$10^2)),0)^(2/3))*SQRT($B$16),0))</f>
        <v/>
      </c>
      <c r="H166" s="30" t="str">
        <f>IF(($A166+6)&gt;$B$11, "", IF(IF(($B$9+2*(($A166+6)/100)*SQRT(1+$B$10^2))&gt;0,(($B$9 * (($A166+6)/100))+($B$10 * (($A166+6)/100)^2))/($B$9+2*(($A166+6)/100)*SQRT(1+$B$10^2)),0)&gt;0,(1/$B$17)*(IF(($B$9+2*(($A166+6)/100)*SQRT(1+$B$10^2))&gt;0,(($B$9 * (($A166+6)/100))+($B$10 * (($A166+6)/100)^2))/($B$9+2*(($A166+6)/100)*SQRT(1+$B$10^2)),0)^(2/3))*SQRT($B$16),0))</f>
        <v/>
      </c>
      <c r="I166" s="30" t="str">
        <f>IF(($A166+7)&gt;$B$11, "", IF(IF(($B$9+2*(($A166+7)/100)*SQRT(1+$B$10^2))&gt;0,(($B$9 * (($A166+7)/100))+($B$10 * (($A166+7)/100)^2))/($B$9+2*(($A166+7)/100)*SQRT(1+$B$10^2)),0)&gt;0,(1/$B$17)*(IF(($B$9+2*(($A166+7)/100)*SQRT(1+$B$10^2))&gt;0,(($B$9 * (($A166+7)/100))+($B$10 * (($A166+7)/100)^2))/($B$9+2*(($A166+7)/100)*SQRT(1+$B$10^2)),0)^(2/3))*SQRT($B$16),0))</f>
        <v/>
      </c>
      <c r="J166" s="30" t="str">
        <f>IF(($A166+8)&gt;$B$11, "", IF(IF(($B$9+2*(($A166+8)/100)*SQRT(1+$B$10^2))&gt;0,(($B$9 * (($A166+8)/100))+($B$10 * (($A166+8)/100)^2))/($B$9+2*(($A166+8)/100)*SQRT(1+$B$10^2)),0)&gt;0,(1/$B$17)*(IF(($B$9+2*(($A166+8)/100)*SQRT(1+$B$10^2))&gt;0,(($B$9 * (($A166+8)/100))+($B$10 * (($A166+8)/100)^2))/($B$9+2*(($A166+8)/100)*SQRT(1+$B$10^2)),0)^(2/3))*SQRT($B$16),0))</f>
        <v/>
      </c>
      <c r="K166" s="30" t="str">
        <f>IF(($A166+9)&gt;$B$11, "", IF(IF(($B$9+2*(($A166+9)/100)*SQRT(1+$B$10^2))&gt;0,(($B$9 * (($A166+9)/100))+($B$10 * (($A166+9)/100)^2))/($B$9+2*(($A166+9)/100)*SQRT(1+$B$10^2)),0)&gt;0,(1/$B$17)*(IF(($B$9+2*(($A166+9)/100)*SQRT(1+$B$10^2))&gt;0,(($B$9 * (($A166+9)/100))+($B$10 * (($A166+9)/100)^2))/($B$9+2*(($A166+9)/100)*SQRT(1+$B$10^2)),0)^(2/3))*SQRT($B$16),0))</f>
        <v/>
      </c>
    </row>
    <row r="167">
      <c r="A167" s="11">
        <v>230</v>
      </c>
      <c r="B167" s="30" t="str">
        <f>IF(($A167+0)&gt;$B$11, "", IF(IF(($B$9+2*(($A167+0)/100)*SQRT(1+$B$10^2))&gt;0,(($B$9 * (($A167+0)/100))+($B$10 * (($A167+0)/100)^2))/($B$9+2*(($A167+0)/100)*SQRT(1+$B$10^2)),0)&gt;0,(1/$B$17)*(IF(($B$9+2*(($A167+0)/100)*SQRT(1+$B$10^2))&gt;0,(($B$9 * (($A167+0)/100))+($B$10 * (($A167+0)/100)^2))/($B$9+2*(($A167+0)/100)*SQRT(1+$B$10^2)),0)^(2/3))*SQRT($B$16),0))</f>
        <v/>
      </c>
      <c r="C167" s="30" t="str">
        <f>IF(($A167+1)&gt;$B$11, "", IF(IF(($B$9+2*(($A167+1)/100)*SQRT(1+$B$10^2))&gt;0,(($B$9 * (($A167+1)/100))+($B$10 * (($A167+1)/100)^2))/($B$9+2*(($A167+1)/100)*SQRT(1+$B$10^2)),0)&gt;0,(1/$B$17)*(IF(($B$9+2*(($A167+1)/100)*SQRT(1+$B$10^2))&gt;0,(($B$9 * (($A167+1)/100))+($B$10 * (($A167+1)/100)^2))/($B$9+2*(($A167+1)/100)*SQRT(1+$B$10^2)),0)^(2/3))*SQRT($B$16),0))</f>
        <v/>
      </c>
      <c r="D167" s="30" t="str">
        <f>IF(($A167+2)&gt;$B$11, "", IF(IF(($B$9+2*(($A167+2)/100)*SQRT(1+$B$10^2))&gt;0,(($B$9 * (($A167+2)/100))+($B$10 * (($A167+2)/100)^2))/($B$9+2*(($A167+2)/100)*SQRT(1+$B$10^2)),0)&gt;0,(1/$B$17)*(IF(($B$9+2*(($A167+2)/100)*SQRT(1+$B$10^2))&gt;0,(($B$9 * (($A167+2)/100))+($B$10 * (($A167+2)/100)^2))/($B$9+2*(($A167+2)/100)*SQRT(1+$B$10^2)),0)^(2/3))*SQRT($B$16),0))</f>
        <v/>
      </c>
      <c r="E167" s="30" t="str">
        <f>IF(($A167+3)&gt;$B$11, "", IF(IF(($B$9+2*(($A167+3)/100)*SQRT(1+$B$10^2))&gt;0,(($B$9 * (($A167+3)/100))+($B$10 * (($A167+3)/100)^2))/($B$9+2*(($A167+3)/100)*SQRT(1+$B$10^2)),0)&gt;0,(1/$B$17)*(IF(($B$9+2*(($A167+3)/100)*SQRT(1+$B$10^2))&gt;0,(($B$9 * (($A167+3)/100))+($B$10 * (($A167+3)/100)^2))/($B$9+2*(($A167+3)/100)*SQRT(1+$B$10^2)),0)^(2/3))*SQRT($B$16),0))</f>
        <v/>
      </c>
      <c r="F167" s="30" t="str">
        <f>IF(($A167+4)&gt;$B$11, "", IF(IF(($B$9+2*(($A167+4)/100)*SQRT(1+$B$10^2))&gt;0,(($B$9 * (($A167+4)/100))+($B$10 * (($A167+4)/100)^2))/($B$9+2*(($A167+4)/100)*SQRT(1+$B$10^2)),0)&gt;0,(1/$B$17)*(IF(($B$9+2*(($A167+4)/100)*SQRT(1+$B$10^2))&gt;0,(($B$9 * (($A167+4)/100))+($B$10 * (($A167+4)/100)^2))/($B$9+2*(($A167+4)/100)*SQRT(1+$B$10^2)),0)^(2/3))*SQRT($B$16),0))</f>
        <v/>
      </c>
      <c r="G167" s="30" t="str">
        <f>IF(($A167+5)&gt;$B$11, "", IF(IF(($B$9+2*(($A167+5)/100)*SQRT(1+$B$10^2))&gt;0,(($B$9 * (($A167+5)/100))+($B$10 * (($A167+5)/100)^2))/($B$9+2*(($A167+5)/100)*SQRT(1+$B$10^2)),0)&gt;0,(1/$B$17)*(IF(($B$9+2*(($A167+5)/100)*SQRT(1+$B$10^2))&gt;0,(($B$9 * (($A167+5)/100))+($B$10 * (($A167+5)/100)^2))/($B$9+2*(($A167+5)/100)*SQRT(1+$B$10^2)),0)^(2/3))*SQRT($B$16),0))</f>
        <v/>
      </c>
      <c r="H167" s="30" t="str">
        <f>IF(($A167+6)&gt;$B$11, "", IF(IF(($B$9+2*(($A167+6)/100)*SQRT(1+$B$10^2))&gt;0,(($B$9 * (($A167+6)/100))+($B$10 * (($A167+6)/100)^2))/($B$9+2*(($A167+6)/100)*SQRT(1+$B$10^2)),0)&gt;0,(1/$B$17)*(IF(($B$9+2*(($A167+6)/100)*SQRT(1+$B$10^2))&gt;0,(($B$9 * (($A167+6)/100))+($B$10 * (($A167+6)/100)^2))/($B$9+2*(($A167+6)/100)*SQRT(1+$B$10^2)),0)^(2/3))*SQRT($B$16),0))</f>
        <v/>
      </c>
      <c r="I167" s="30" t="str">
        <f>IF(($A167+7)&gt;$B$11, "", IF(IF(($B$9+2*(($A167+7)/100)*SQRT(1+$B$10^2))&gt;0,(($B$9 * (($A167+7)/100))+($B$10 * (($A167+7)/100)^2))/($B$9+2*(($A167+7)/100)*SQRT(1+$B$10^2)),0)&gt;0,(1/$B$17)*(IF(($B$9+2*(($A167+7)/100)*SQRT(1+$B$10^2))&gt;0,(($B$9 * (($A167+7)/100))+($B$10 * (($A167+7)/100)^2))/($B$9+2*(($A167+7)/100)*SQRT(1+$B$10^2)),0)^(2/3))*SQRT($B$16),0))</f>
        <v/>
      </c>
      <c r="J167" s="30" t="str">
        <f>IF(($A167+8)&gt;$B$11, "", IF(IF(($B$9+2*(($A167+8)/100)*SQRT(1+$B$10^2))&gt;0,(($B$9 * (($A167+8)/100))+($B$10 * (($A167+8)/100)^2))/($B$9+2*(($A167+8)/100)*SQRT(1+$B$10^2)),0)&gt;0,(1/$B$17)*(IF(($B$9+2*(($A167+8)/100)*SQRT(1+$B$10^2))&gt;0,(($B$9 * (($A167+8)/100))+($B$10 * (($A167+8)/100)^2))/($B$9+2*(($A167+8)/100)*SQRT(1+$B$10^2)),0)^(2/3))*SQRT($B$16),0))</f>
        <v/>
      </c>
      <c r="K167" s="30" t="str">
        <f>IF(($A167+9)&gt;$B$11, "", IF(IF(($B$9+2*(($A167+9)/100)*SQRT(1+$B$10^2))&gt;0,(($B$9 * (($A167+9)/100))+($B$10 * (($A167+9)/100)^2))/($B$9+2*(($A167+9)/100)*SQRT(1+$B$10^2)),0)&gt;0,(1/$B$17)*(IF(($B$9+2*(($A167+9)/100)*SQRT(1+$B$10^2))&gt;0,(($B$9 * (($A167+9)/100))+($B$10 * (($A167+9)/100)^2))/($B$9+2*(($A167+9)/100)*SQRT(1+$B$10^2)),0)^(2/3))*SQRT($B$16),0))</f>
        <v/>
      </c>
    </row>
    <row r="168">
      <c r="A168" s="11">
        <v>240</v>
      </c>
      <c r="B168" s="30" t="str">
        <f>IF(($A168+0)&gt;$B$11, "", IF(IF(($B$9+2*(($A168+0)/100)*SQRT(1+$B$10^2))&gt;0,(($B$9 * (($A168+0)/100))+($B$10 * (($A168+0)/100)^2))/($B$9+2*(($A168+0)/100)*SQRT(1+$B$10^2)),0)&gt;0,(1/$B$17)*(IF(($B$9+2*(($A168+0)/100)*SQRT(1+$B$10^2))&gt;0,(($B$9 * (($A168+0)/100))+($B$10 * (($A168+0)/100)^2))/($B$9+2*(($A168+0)/100)*SQRT(1+$B$10^2)),0)^(2/3))*SQRT($B$16),0))</f>
        <v/>
      </c>
      <c r="C168" s="30" t="str">
        <f>IF(($A168+1)&gt;$B$11, "", IF(IF(($B$9+2*(($A168+1)/100)*SQRT(1+$B$10^2))&gt;0,(($B$9 * (($A168+1)/100))+($B$10 * (($A168+1)/100)^2))/($B$9+2*(($A168+1)/100)*SQRT(1+$B$10^2)),0)&gt;0,(1/$B$17)*(IF(($B$9+2*(($A168+1)/100)*SQRT(1+$B$10^2))&gt;0,(($B$9 * (($A168+1)/100))+($B$10 * (($A168+1)/100)^2))/($B$9+2*(($A168+1)/100)*SQRT(1+$B$10^2)),0)^(2/3))*SQRT($B$16),0))</f>
        <v/>
      </c>
      <c r="D168" s="30" t="str">
        <f>IF(($A168+2)&gt;$B$11, "", IF(IF(($B$9+2*(($A168+2)/100)*SQRT(1+$B$10^2))&gt;0,(($B$9 * (($A168+2)/100))+($B$10 * (($A168+2)/100)^2))/($B$9+2*(($A168+2)/100)*SQRT(1+$B$10^2)),0)&gt;0,(1/$B$17)*(IF(($B$9+2*(($A168+2)/100)*SQRT(1+$B$10^2))&gt;0,(($B$9 * (($A168+2)/100))+($B$10 * (($A168+2)/100)^2))/($B$9+2*(($A168+2)/100)*SQRT(1+$B$10^2)),0)^(2/3))*SQRT($B$16),0))</f>
        <v/>
      </c>
      <c r="E168" s="30" t="str">
        <f>IF(($A168+3)&gt;$B$11, "", IF(IF(($B$9+2*(($A168+3)/100)*SQRT(1+$B$10^2))&gt;0,(($B$9 * (($A168+3)/100))+($B$10 * (($A168+3)/100)^2))/($B$9+2*(($A168+3)/100)*SQRT(1+$B$10^2)),0)&gt;0,(1/$B$17)*(IF(($B$9+2*(($A168+3)/100)*SQRT(1+$B$10^2))&gt;0,(($B$9 * (($A168+3)/100))+($B$10 * (($A168+3)/100)^2))/($B$9+2*(($A168+3)/100)*SQRT(1+$B$10^2)),0)^(2/3))*SQRT($B$16),0))</f>
        <v/>
      </c>
      <c r="F168" s="30" t="str">
        <f>IF(($A168+4)&gt;$B$11, "", IF(IF(($B$9+2*(($A168+4)/100)*SQRT(1+$B$10^2))&gt;0,(($B$9 * (($A168+4)/100))+($B$10 * (($A168+4)/100)^2))/($B$9+2*(($A168+4)/100)*SQRT(1+$B$10^2)),0)&gt;0,(1/$B$17)*(IF(($B$9+2*(($A168+4)/100)*SQRT(1+$B$10^2))&gt;0,(($B$9 * (($A168+4)/100))+($B$10 * (($A168+4)/100)^2))/($B$9+2*(($A168+4)/100)*SQRT(1+$B$10^2)),0)^(2/3))*SQRT($B$16),0))</f>
        <v/>
      </c>
      <c r="G168" s="30" t="str">
        <f>IF(($A168+5)&gt;$B$11, "", IF(IF(($B$9+2*(($A168+5)/100)*SQRT(1+$B$10^2))&gt;0,(($B$9 * (($A168+5)/100))+($B$10 * (($A168+5)/100)^2))/($B$9+2*(($A168+5)/100)*SQRT(1+$B$10^2)),0)&gt;0,(1/$B$17)*(IF(($B$9+2*(($A168+5)/100)*SQRT(1+$B$10^2))&gt;0,(($B$9 * (($A168+5)/100))+($B$10 * (($A168+5)/100)^2))/($B$9+2*(($A168+5)/100)*SQRT(1+$B$10^2)),0)^(2/3))*SQRT($B$16),0))</f>
        <v/>
      </c>
      <c r="H168" s="30" t="str">
        <f>IF(($A168+6)&gt;$B$11, "", IF(IF(($B$9+2*(($A168+6)/100)*SQRT(1+$B$10^2))&gt;0,(($B$9 * (($A168+6)/100))+($B$10 * (($A168+6)/100)^2))/($B$9+2*(($A168+6)/100)*SQRT(1+$B$10^2)),0)&gt;0,(1/$B$17)*(IF(($B$9+2*(($A168+6)/100)*SQRT(1+$B$10^2))&gt;0,(($B$9 * (($A168+6)/100))+($B$10 * (($A168+6)/100)^2))/($B$9+2*(($A168+6)/100)*SQRT(1+$B$10^2)),0)^(2/3))*SQRT($B$16),0))</f>
        <v/>
      </c>
      <c r="I168" s="30" t="str">
        <f>IF(($A168+7)&gt;$B$11, "", IF(IF(($B$9+2*(($A168+7)/100)*SQRT(1+$B$10^2))&gt;0,(($B$9 * (($A168+7)/100))+($B$10 * (($A168+7)/100)^2))/($B$9+2*(($A168+7)/100)*SQRT(1+$B$10^2)),0)&gt;0,(1/$B$17)*(IF(($B$9+2*(($A168+7)/100)*SQRT(1+$B$10^2))&gt;0,(($B$9 * (($A168+7)/100))+($B$10 * (($A168+7)/100)^2))/($B$9+2*(($A168+7)/100)*SQRT(1+$B$10^2)),0)^(2/3))*SQRT($B$16),0))</f>
        <v/>
      </c>
      <c r="J168" s="30" t="str">
        <f>IF(($A168+8)&gt;$B$11, "", IF(IF(($B$9+2*(($A168+8)/100)*SQRT(1+$B$10^2))&gt;0,(($B$9 * (($A168+8)/100))+($B$10 * (($A168+8)/100)^2))/($B$9+2*(($A168+8)/100)*SQRT(1+$B$10^2)),0)&gt;0,(1/$B$17)*(IF(($B$9+2*(($A168+8)/100)*SQRT(1+$B$10^2))&gt;0,(($B$9 * (($A168+8)/100))+($B$10 * (($A168+8)/100)^2))/($B$9+2*(($A168+8)/100)*SQRT(1+$B$10^2)),0)^(2/3))*SQRT($B$16),0))</f>
        <v/>
      </c>
      <c r="K168" s="30" t="str">
        <f>IF(($A168+9)&gt;$B$11, "", IF(IF(($B$9+2*(($A168+9)/100)*SQRT(1+$B$10^2))&gt;0,(($B$9 * (($A168+9)/100))+($B$10 * (($A168+9)/100)^2))/($B$9+2*(($A168+9)/100)*SQRT(1+$B$10^2)),0)&gt;0,(1/$B$17)*(IF(($B$9+2*(($A168+9)/100)*SQRT(1+$B$10^2))&gt;0,(($B$9 * (($A168+9)/100))+($B$10 * (($A168+9)/100)^2))/($B$9+2*(($A168+9)/100)*SQRT(1+$B$10^2)),0)^(2/3))*SQRT($B$16),0))</f>
        <v/>
      </c>
    </row>
    <row r="169">
      <c r="A169" s="11">
        <v>250</v>
      </c>
      <c r="B169" s="30" t="str">
        <f>IF(($A169+0)&gt;$B$11, "", IF(IF(($B$9+2*(($A169+0)/100)*SQRT(1+$B$10^2))&gt;0,(($B$9 * (($A169+0)/100))+($B$10 * (($A169+0)/100)^2))/($B$9+2*(($A169+0)/100)*SQRT(1+$B$10^2)),0)&gt;0,(1/$B$17)*(IF(($B$9+2*(($A169+0)/100)*SQRT(1+$B$10^2))&gt;0,(($B$9 * (($A169+0)/100))+($B$10 * (($A169+0)/100)^2))/($B$9+2*(($A169+0)/100)*SQRT(1+$B$10^2)),0)^(2/3))*SQRT($B$16),0))</f>
        <v/>
      </c>
      <c r="C169" s="30" t="str">
        <f>IF(($A169+1)&gt;$B$11, "", IF(IF(($B$9+2*(($A169+1)/100)*SQRT(1+$B$10^2))&gt;0,(($B$9 * (($A169+1)/100))+($B$10 * (($A169+1)/100)^2))/($B$9+2*(($A169+1)/100)*SQRT(1+$B$10^2)),0)&gt;0,(1/$B$17)*(IF(($B$9+2*(($A169+1)/100)*SQRT(1+$B$10^2))&gt;0,(($B$9 * (($A169+1)/100))+($B$10 * (($A169+1)/100)^2))/($B$9+2*(($A169+1)/100)*SQRT(1+$B$10^2)),0)^(2/3))*SQRT($B$16),0))</f>
        <v/>
      </c>
      <c r="D169" s="30" t="str">
        <f>IF(($A169+2)&gt;$B$11, "", IF(IF(($B$9+2*(($A169+2)/100)*SQRT(1+$B$10^2))&gt;0,(($B$9 * (($A169+2)/100))+($B$10 * (($A169+2)/100)^2))/($B$9+2*(($A169+2)/100)*SQRT(1+$B$10^2)),0)&gt;0,(1/$B$17)*(IF(($B$9+2*(($A169+2)/100)*SQRT(1+$B$10^2))&gt;0,(($B$9 * (($A169+2)/100))+($B$10 * (($A169+2)/100)^2))/($B$9+2*(($A169+2)/100)*SQRT(1+$B$10^2)),0)^(2/3))*SQRT($B$16),0))</f>
        <v/>
      </c>
      <c r="E169" s="30" t="str">
        <f>IF(($A169+3)&gt;$B$11, "", IF(IF(($B$9+2*(($A169+3)/100)*SQRT(1+$B$10^2))&gt;0,(($B$9 * (($A169+3)/100))+($B$10 * (($A169+3)/100)^2))/($B$9+2*(($A169+3)/100)*SQRT(1+$B$10^2)),0)&gt;0,(1/$B$17)*(IF(($B$9+2*(($A169+3)/100)*SQRT(1+$B$10^2))&gt;0,(($B$9 * (($A169+3)/100))+($B$10 * (($A169+3)/100)^2))/($B$9+2*(($A169+3)/100)*SQRT(1+$B$10^2)),0)^(2/3))*SQRT($B$16),0))</f>
        <v/>
      </c>
      <c r="F169" s="30" t="str">
        <f>IF(($A169+4)&gt;$B$11, "", IF(IF(($B$9+2*(($A169+4)/100)*SQRT(1+$B$10^2))&gt;0,(($B$9 * (($A169+4)/100))+($B$10 * (($A169+4)/100)^2))/($B$9+2*(($A169+4)/100)*SQRT(1+$B$10^2)),0)&gt;0,(1/$B$17)*(IF(($B$9+2*(($A169+4)/100)*SQRT(1+$B$10^2))&gt;0,(($B$9 * (($A169+4)/100))+($B$10 * (($A169+4)/100)^2))/($B$9+2*(($A169+4)/100)*SQRT(1+$B$10^2)),0)^(2/3))*SQRT($B$16),0))</f>
        <v/>
      </c>
      <c r="G169" s="30" t="str">
        <f>IF(($A169+5)&gt;$B$11, "", IF(IF(($B$9+2*(($A169+5)/100)*SQRT(1+$B$10^2))&gt;0,(($B$9 * (($A169+5)/100))+($B$10 * (($A169+5)/100)^2))/($B$9+2*(($A169+5)/100)*SQRT(1+$B$10^2)),0)&gt;0,(1/$B$17)*(IF(($B$9+2*(($A169+5)/100)*SQRT(1+$B$10^2))&gt;0,(($B$9 * (($A169+5)/100))+($B$10 * (($A169+5)/100)^2))/($B$9+2*(($A169+5)/100)*SQRT(1+$B$10^2)),0)^(2/3))*SQRT($B$16),0))</f>
        <v/>
      </c>
      <c r="H169" s="30" t="str">
        <f>IF(($A169+6)&gt;$B$11, "", IF(IF(($B$9+2*(($A169+6)/100)*SQRT(1+$B$10^2))&gt;0,(($B$9 * (($A169+6)/100))+($B$10 * (($A169+6)/100)^2))/($B$9+2*(($A169+6)/100)*SQRT(1+$B$10^2)),0)&gt;0,(1/$B$17)*(IF(($B$9+2*(($A169+6)/100)*SQRT(1+$B$10^2))&gt;0,(($B$9 * (($A169+6)/100))+($B$10 * (($A169+6)/100)^2))/($B$9+2*(($A169+6)/100)*SQRT(1+$B$10^2)),0)^(2/3))*SQRT($B$16),0))</f>
        <v/>
      </c>
      <c r="I169" s="30" t="str">
        <f>IF(($A169+7)&gt;$B$11, "", IF(IF(($B$9+2*(($A169+7)/100)*SQRT(1+$B$10^2))&gt;0,(($B$9 * (($A169+7)/100))+($B$10 * (($A169+7)/100)^2))/($B$9+2*(($A169+7)/100)*SQRT(1+$B$10^2)),0)&gt;0,(1/$B$17)*(IF(($B$9+2*(($A169+7)/100)*SQRT(1+$B$10^2))&gt;0,(($B$9 * (($A169+7)/100))+($B$10 * (($A169+7)/100)^2))/($B$9+2*(($A169+7)/100)*SQRT(1+$B$10^2)),0)^(2/3))*SQRT($B$16),0))</f>
        <v/>
      </c>
      <c r="J169" s="30" t="str">
        <f>IF(($A169+8)&gt;$B$11, "", IF(IF(($B$9+2*(($A169+8)/100)*SQRT(1+$B$10^2))&gt;0,(($B$9 * (($A169+8)/100))+($B$10 * (($A169+8)/100)^2))/($B$9+2*(($A169+8)/100)*SQRT(1+$B$10^2)),0)&gt;0,(1/$B$17)*(IF(($B$9+2*(($A169+8)/100)*SQRT(1+$B$10^2))&gt;0,(($B$9 * (($A169+8)/100))+($B$10 * (($A169+8)/100)^2))/($B$9+2*(($A169+8)/100)*SQRT(1+$B$10^2)),0)^(2/3))*SQRT($B$16),0))</f>
        <v/>
      </c>
      <c r="K169" s="30" t="str">
        <f>IF(($A169+9)&gt;$B$11, "", IF(IF(($B$9+2*(($A169+9)/100)*SQRT(1+$B$10^2))&gt;0,(($B$9 * (($A169+9)/100))+($B$10 * (($A169+9)/100)^2))/($B$9+2*(($A169+9)/100)*SQRT(1+$B$10^2)),0)&gt;0,(1/$B$17)*(IF(($B$9+2*(($A169+9)/100)*SQRT(1+$B$10^2))&gt;0,(($B$9 * (($A169+9)/100))+($B$10 * (($A169+9)/100)^2))/($B$9+2*(($A169+9)/100)*SQRT(1+$B$10^2)),0)^(2/3))*SQRT($B$16),0))</f>
        <v/>
      </c>
    </row>
    <row r="170">
      <c r="A170" s="11">
        <v>260</v>
      </c>
      <c r="B170" s="30" t="str">
        <f>IF(($A170+0)&gt;$B$11, "", IF(IF(($B$9+2*(($A170+0)/100)*SQRT(1+$B$10^2))&gt;0,(($B$9 * (($A170+0)/100))+($B$10 * (($A170+0)/100)^2))/($B$9+2*(($A170+0)/100)*SQRT(1+$B$10^2)),0)&gt;0,(1/$B$17)*(IF(($B$9+2*(($A170+0)/100)*SQRT(1+$B$10^2))&gt;0,(($B$9 * (($A170+0)/100))+($B$10 * (($A170+0)/100)^2))/($B$9+2*(($A170+0)/100)*SQRT(1+$B$10^2)),0)^(2/3))*SQRT($B$16),0))</f>
        <v/>
      </c>
      <c r="C170" s="30" t="str">
        <f>IF(($A170+1)&gt;$B$11, "", IF(IF(($B$9+2*(($A170+1)/100)*SQRT(1+$B$10^2))&gt;0,(($B$9 * (($A170+1)/100))+($B$10 * (($A170+1)/100)^2))/($B$9+2*(($A170+1)/100)*SQRT(1+$B$10^2)),0)&gt;0,(1/$B$17)*(IF(($B$9+2*(($A170+1)/100)*SQRT(1+$B$10^2))&gt;0,(($B$9 * (($A170+1)/100))+($B$10 * (($A170+1)/100)^2))/($B$9+2*(($A170+1)/100)*SQRT(1+$B$10^2)),0)^(2/3))*SQRT($B$16),0))</f>
        <v/>
      </c>
      <c r="D170" s="30" t="str">
        <f>IF(($A170+2)&gt;$B$11, "", IF(IF(($B$9+2*(($A170+2)/100)*SQRT(1+$B$10^2))&gt;0,(($B$9 * (($A170+2)/100))+($B$10 * (($A170+2)/100)^2))/($B$9+2*(($A170+2)/100)*SQRT(1+$B$10^2)),0)&gt;0,(1/$B$17)*(IF(($B$9+2*(($A170+2)/100)*SQRT(1+$B$10^2))&gt;0,(($B$9 * (($A170+2)/100))+($B$10 * (($A170+2)/100)^2))/($B$9+2*(($A170+2)/100)*SQRT(1+$B$10^2)),0)^(2/3))*SQRT($B$16),0))</f>
        <v/>
      </c>
      <c r="E170" s="30" t="str">
        <f>IF(($A170+3)&gt;$B$11, "", IF(IF(($B$9+2*(($A170+3)/100)*SQRT(1+$B$10^2))&gt;0,(($B$9 * (($A170+3)/100))+($B$10 * (($A170+3)/100)^2))/($B$9+2*(($A170+3)/100)*SQRT(1+$B$10^2)),0)&gt;0,(1/$B$17)*(IF(($B$9+2*(($A170+3)/100)*SQRT(1+$B$10^2))&gt;0,(($B$9 * (($A170+3)/100))+($B$10 * (($A170+3)/100)^2))/($B$9+2*(($A170+3)/100)*SQRT(1+$B$10^2)),0)^(2/3))*SQRT($B$16),0))</f>
        <v/>
      </c>
      <c r="F170" s="30" t="str">
        <f>IF(($A170+4)&gt;$B$11, "", IF(IF(($B$9+2*(($A170+4)/100)*SQRT(1+$B$10^2))&gt;0,(($B$9 * (($A170+4)/100))+($B$10 * (($A170+4)/100)^2))/($B$9+2*(($A170+4)/100)*SQRT(1+$B$10^2)),0)&gt;0,(1/$B$17)*(IF(($B$9+2*(($A170+4)/100)*SQRT(1+$B$10^2))&gt;0,(($B$9 * (($A170+4)/100))+($B$10 * (($A170+4)/100)^2))/($B$9+2*(($A170+4)/100)*SQRT(1+$B$10^2)),0)^(2/3))*SQRT($B$16),0))</f>
        <v/>
      </c>
      <c r="G170" s="30" t="str">
        <f>IF(($A170+5)&gt;$B$11, "", IF(IF(($B$9+2*(($A170+5)/100)*SQRT(1+$B$10^2))&gt;0,(($B$9 * (($A170+5)/100))+($B$10 * (($A170+5)/100)^2))/($B$9+2*(($A170+5)/100)*SQRT(1+$B$10^2)),0)&gt;0,(1/$B$17)*(IF(($B$9+2*(($A170+5)/100)*SQRT(1+$B$10^2))&gt;0,(($B$9 * (($A170+5)/100))+($B$10 * (($A170+5)/100)^2))/($B$9+2*(($A170+5)/100)*SQRT(1+$B$10^2)),0)^(2/3))*SQRT($B$16),0))</f>
        <v/>
      </c>
      <c r="H170" s="30" t="str">
        <f>IF(($A170+6)&gt;$B$11, "", IF(IF(($B$9+2*(($A170+6)/100)*SQRT(1+$B$10^2))&gt;0,(($B$9 * (($A170+6)/100))+($B$10 * (($A170+6)/100)^2))/($B$9+2*(($A170+6)/100)*SQRT(1+$B$10^2)),0)&gt;0,(1/$B$17)*(IF(($B$9+2*(($A170+6)/100)*SQRT(1+$B$10^2))&gt;0,(($B$9 * (($A170+6)/100))+($B$10 * (($A170+6)/100)^2))/($B$9+2*(($A170+6)/100)*SQRT(1+$B$10^2)),0)^(2/3))*SQRT($B$16),0))</f>
        <v/>
      </c>
      <c r="I170" s="30" t="str">
        <f>IF(($A170+7)&gt;$B$11, "", IF(IF(($B$9+2*(($A170+7)/100)*SQRT(1+$B$10^2))&gt;0,(($B$9 * (($A170+7)/100))+($B$10 * (($A170+7)/100)^2))/($B$9+2*(($A170+7)/100)*SQRT(1+$B$10^2)),0)&gt;0,(1/$B$17)*(IF(($B$9+2*(($A170+7)/100)*SQRT(1+$B$10^2))&gt;0,(($B$9 * (($A170+7)/100))+($B$10 * (($A170+7)/100)^2))/($B$9+2*(($A170+7)/100)*SQRT(1+$B$10^2)),0)^(2/3))*SQRT($B$16),0))</f>
        <v/>
      </c>
      <c r="J170" s="30" t="str">
        <f>IF(($A170+8)&gt;$B$11, "", IF(IF(($B$9+2*(($A170+8)/100)*SQRT(1+$B$10^2))&gt;0,(($B$9 * (($A170+8)/100))+($B$10 * (($A170+8)/100)^2))/($B$9+2*(($A170+8)/100)*SQRT(1+$B$10^2)),0)&gt;0,(1/$B$17)*(IF(($B$9+2*(($A170+8)/100)*SQRT(1+$B$10^2))&gt;0,(($B$9 * (($A170+8)/100))+($B$10 * (($A170+8)/100)^2))/($B$9+2*(($A170+8)/100)*SQRT(1+$B$10^2)),0)^(2/3))*SQRT($B$16),0))</f>
        <v/>
      </c>
      <c r="K170" s="30" t="str">
        <f>IF(($A170+9)&gt;$B$11, "", IF(IF(($B$9+2*(($A170+9)/100)*SQRT(1+$B$10^2))&gt;0,(($B$9 * (($A170+9)/100))+($B$10 * (($A170+9)/100)^2))/($B$9+2*(($A170+9)/100)*SQRT(1+$B$10^2)),0)&gt;0,(1/$B$17)*(IF(($B$9+2*(($A170+9)/100)*SQRT(1+$B$10^2))&gt;0,(($B$9 * (($A170+9)/100))+($B$10 * (($A170+9)/100)^2))/($B$9+2*(($A170+9)/100)*SQRT(1+$B$10^2)),0)^(2/3))*SQRT($B$16),0))</f>
        <v/>
      </c>
    </row>
    <row r="171">
      <c r="A171" s="11">
        <v>270</v>
      </c>
      <c r="B171" s="30" t="str">
        <f>IF(($A171+0)&gt;$B$11, "", IF(IF(($B$9+2*(($A171+0)/100)*SQRT(1+$B$10^2))&gt;0,(($B$9 * (($A171+0)/100))+($B$10 * (($A171+0)/100)^2))/($B$9+2*(($A171+0)/100)*SQRT(1+$B$10^2)),0)&gt;0,(1/$B$17)*(IF(($B$9+2*(($A171+0)/100)*SQRT(1+$B$10^2))&gt;0,(($B$9 * (($A171+0)/100))+($B$10 * (($A171+0)/100)^2))/($B$9+2*(($A171+0)/100)*SQRT(1+$B$10^2)),0)^(2/3))*SQRT($B$16),0))</f>
        <v/>
      </c>
      <c r="C171" s="30" t="str">
        <f>IF(($A171+1)&gt;$B$11, "", IF(IF(($B$9+2*(($A171+1)/100)*SQRT(1+$B$10^2))&gt;0,(($B$9 * (($A171+1)/100))+($B$10 * (($A171+1)/100)^2))/($B$9+2*(($A171+1)/100)*SQRT(1+$B$10^2)),0)&gt;0,(1/$B$17)*(IF(($B$9+2*(($A171+1)/100)*SQRT(1+$B$10^2))&gt;0,(($B$9 * (($A171+1)/100))+($B$10 * (($A171+1)/100)^2))/($B$9+2*(($A171+1)/100)*SQRT(1+$B$10^2)),0)^(2/3))*SQRT($B$16),0))</f>
        <v/>
      </c>
      <c r="D171" s="30" t="str">
        <f>IF(($A171+2)&gt;$B$11, "", IF(IF(($B$9+2*(($A171+2)/100)*SQRT(1+$B$10^2))&gt;0,(($B$9 * (($A171+2)/100))+($B$10 * (($A171+2)/100)^2))/($B$9+2*(($A171+2)/100)*SQRT(1+$B$10^2)),0)&gt;0,(1/$B$17)*(IF(($B$9+2*(($A171+2)/100)*SQRT(1+$B$10^2))&gt;0,(($B$9 * (($A171+2)/100))+($B$10 * (($A171+2)/100)^2))/($B$9+2*(($A171+2)/100)*SQRT(1+$B$10^2)),0)^(2/3))*SQRT($B$16),0))</f>
        <v/>
      </c>
      <c r="E171" s="30" t="str">
        <f>IF(($A171+3)&gt;$B$11, "", IF(IF(($B$9+2*(($A171+3)/100)*SQRT(1+$B$10^2))&gt;0,(($B$9 * (($A171+3)/100))+($B$10 * (($A171+3)/100)^2))/($B$9+2*(($A171+3)/100)*SQRT(1+$B$10^2)),0)&gt;0,(1/$B$17)*(IF(($B$9+2*(($A171+3)/100)*SQRT(1+$B$10^2))&gt;0,(($B$9 * (($A171+3)/100))+($B$10 * (($A171+3)/100)^2))/($B$9+2*(($A171+3)/100)*SQRT(1+$B$10^2)),0)^(2/3))*SQRT($B$16),0))</f>
        <v/>
      </c>
      <c r="F171" s="30" t="str">
        <f>IF(($A171+4)&gt;$B$11, "", IF(IF(($B$9+2*(($A171+4)/100)*SQRT(1+$B$10^2))&gt;0,(($B$9 * (($A171+4)/100))+($B$10 * (($A171+4)/100)^2))/($B$9+2*(($A171+4)/100)*SQRT(1+$B$10^2)),0)&gt;0,(1/$B$17)*(IF(($B$9+2*(($A171+4)/100)*SQRT(1+$B$10^2))&gt;0,(($B$9 * (($A171+4)/100))+($B$10 * (($A171+4)/100)^2))/($B$9+2*(($A171+4)/100)*SQRT(1+$B$10^2)),0)^(2/3))*SQRT($B$16),0))</f>
        <v/>
      </c>
      <c r="G171" s="30" t="str">
        <f>IF(($A171+5)&gt;$B$11, "", IF(IF(($B$9+2*(($A171+5)/100)*SQRT(1+$B$10^2))&gt;0,(($B$9 * (($A171+5)/100))+($B$10 * (($A171+5)/100)^2))/($B$9+2*(($A171+5)/100)*SQRT(1+$B$10^2)),0)&gt;0,(1/$B$17)*(IF(($B$9+2*(($A171+5)/100)*SQRT(1+$B$10^2))&gt;0,(($B$9 * (($A171+5)/100))+($B$10 * (($A171+5)/100)^2))/($B$9+2*(($A171+5)/100)*SQRT(1+$B$10^2)),0)^(2/3))*SQRT($B$16),0))</f>
        <v/>
      </c>
      <c r="H171" s="30" t="str">
        <f>IF(($A171+6)&gt;$B$11, "", IF(IF(($B$9+2*(($A171+6)/100)*SQRT(1+$B$10^2))&gt;0,(($B$9 * (($A171+6)/100))+($B$10 * (($A171+6)/100)^2))/($B$9+2*(($A171+6)/100)*SQRT(1+$B$10^2)),0)&gt;0,(1/$B$17)*(IF(($B$9+2*(($A171+6)/100)*SQRT(1+$B$10^2))&gt;0,(($B$9 * (($A171+6)/100))+($B$10 * (($A171+6)/100)^2))/($B$9+2*(($A171+6)/100)*SQRT(1+$B$10^2)),0)^(2/3))*SQRT($B$16),0))</f>
        <v/>
      </c>
      <c r="I171" s="30" t="str">
        <f>IF(($A171+7)&gt;$B$11, "", IF(IF(($B$9+2*(($A171+7)/100)*SQRT(1+$B$10^2))&gt;0,(($B$9 * (($A171+7)/100))+($B$10 * (($A171+7)/100)^2))/($B$9+2*(($A171+7)/100)*SQRT(1+$B$10^2)),0)&gt;0,(1/$B$17)*(IF(($B$9+2*(($A171+7)/100)*SQRT(1+$B$10^2))&gt;0,(($B$9 * (($A171+7)/100))+($B$10 * (($A171+7)/100)^2))/($B$9+2*(($A171+7)/100)*SQRT(1+$B$10^2)),0)^(2/3))*SQRT($B$16),0))</f>
        <v/>
      </c>
      <c r="J171" s="30" t="str">
        <f>IF(($A171+8)&gt;$B$11, "", IF(IF(($B$9+2*(($A171+8)/100)*SQRT(1+$B$10^2))&gt;0,(($B$9 * (($A171+8)/100))+($B$10 * (($A171+8)/100)^2))/($B$9+2*(($A171+8)/100)*SQRT(1+$B$10^2)),0)&gt;0,(1/$B$17)*(IF(($B$9+2*(($A171+8)/100)*SQRT(1+$B$10^2))&gt;0,(($B$9 * (($A171+8)/100))+($B$10 * (($A171+8)/100)^2))/($B$9+2*(($A171+8)/100)*SQRT(1+$B$10^2)),0)^(2/3))*SQRT($B$16),0))</f>
        <v/>
      </c>
      <c r="K171" s="30" t="str">
        <f>IF(($A171+9)&gt;$B$11, "", IF(IF(($B$9+2*(($A171+9)/100)*SQRT(1+$B$10^2))&gt;0,(($B$9 * (($A171+9)/100))+($B$10 * (($A171+9)/100)^2))/($B$9+2*(($A171+9)/100)*SQRT(1+$B$10^2)),0)&gt;0,(1/$B$17)*(IF(($B$9+2*(($A171+9)/100)*SQRT(1+$B$10^2))&gt;0,(($B$9 * (($A171+9)/100))+($B$10 * (($A171+9)/100)^2))/($B$9+2*(($A171+9)/100)*SQRT(1+$B$10^2)),0)^(2/3))*SQRT($B$16),0))</f>
        <v/>
      </c>
    </row>
    <row r="172">
      <c r="A172" s="11">
        <v>280</v>
      </c>
      <c r="B172" s="30" t="str">
        <f>IF(($A172+0)&gt;$B$11, "", IF(IF(($B$9+2*(($A172+0)/100)*SQRT(1+$B$10^2))&gt;0,(($B$9 * (($A172+0)/100))+($B$10 * (($A172+0)/100)^2))/($B$9+2*(($A172+0)/100)*SQRT(1+$B$10^2)),0)&gt;0,(1/$B$17)*(IF(($B$9+2*(($A172+0)/100)*SQRT(1+$B$10^2))&gt;0,(($B$9 * (($A172+0)/100))+($B$10 * (($A172+0)/100)^2))/($B$9+2*(($A172+0)/100)*SQRT(1+$B$10^2)),0)^(2/3))*SQRT($B$16),0))</f>
        <v/>
      </c>
      <c r="C172" s="30" t="str">
        <f>IF(($A172+1)&gt;$B$11, "", IF(IF(($B$9+2*(($A172+1)/100)*SQRT(1+$B$10^2))&gt;0,(($B$9 * (($A172+1)/100))+($B$10 * (($A172+1)/100)^2))/($B$9+2*(($A172+1)/100)*SQRT(1+$B$10^2)),0)&gt;0,(1/$B$17)*(IF(($B$9+2*(($A172+1)/100)*SQRT(1+$B$10^2))&gt;0,(($B$9 * (($A172+1)/100))+($B$10 * (($A172+1)/100)^2))/($B$9+2*(($A172+1)/100)*SQRT(1+$B$10^2)),0)^(2/3))*SQRT($B$16),0))</f>
        <v/>
      </c>
      <c r="D172" s="30" t="str">
        <f>IF(($A172+2)&gt;$B$11, "", IF(IF(($B$9+2*(($A172+2)/100)*SQRT(1+$B$10^2))&gt;0,(($B$9 * (($A172+2)/100))+($B$10 * (($A172+2)/100)^2))/($B$9+2*(($A172+2)/100)*SQRT(1+$B$10^2)),0)&gt;0,(1/$B$17)*(IF(($B$9+2*(($A172+2)/100)*SQRT(1+$B$10^2))&gt;0,(($B$9 * (($A172+2)/100))+($B$10 * (($A172+2)/100)^2))/($B$9+2*(($A172+2)/100)*SQRT(1+$B$10^2)),0)^(2/3))*SQRT($B$16),0))</f>
        <v/>
      </c>
      <c r="E172" s="30" t="str">
        <f>IF(($A172+3)&gt;$B$11, "", IF(IF(($B$9+2*(($A172+3)/100)*SQRT(1+$B$10^2))&gt;0,(($B$9 * (($A172+3)/100))+($B$10 * (($A172+3)/100)^2))/($B$9+2*(($A172+3)/100)*SQRT(1+$B$10^2)),0)&gt;0,(1/$B$17)*(IF(($B$9+2*(($A172+3)/100)*SQRT(1+$B$10^2))&gt;0,(($B$9 * (($A172+3)/100))+($B$10 * (($A172+3)/100)^2))/($B$9+2*(($A172+3)/100)*SQRT(1+$B$10^2)),0)^(2/3))*SQRT($B$16),0))</f>
        <v/>
      </c>
      <c r="F172" s="30" t="str">
        <f>IF(($A172+4)&gt;$B$11, "", IF(IF(($B$9+2*(($A172+4)/100)*SQRT(1+$B$10^2))&gt;0,(($B$9 * (($A172+4)/100))+($B$10 * (($A172+4)/100)^2))/($B$9+2*(($A172+4)/100)*SQRT(1+$B$10^2)),0)&gt;0,(1/$B$17)*(IF(($B$9+2*(($A172+4)/100)*SQRT(1+$B$10^2))&gt;0,(($B$9 * (($A172+4)/100))+($B$10 * (($A172+4)/100)^2))/($B$9+2*(($A172+4)/100)*SQRT(1+$B$10^2)),0)^(2/3))*SQRT($B$16),0))</f>
        <v/>
      </c>
      <c r="G172" s="30" t="str">
        <f>IF(($A172+5)&gt;$B$11, "", IF(IF(($B$9+2*(($A172+5)/100)*SQRT(1+$B$10^2))&gt;0,(($B$9 * (($A172+5)/100))+($B$10 * (($A172+5)/100)^2))/($B$9+2*(($A172+5)/100)*SQRT(1+$B$10^2)),0)&gt;0,(1/$B$17)*(IF(($B$9+2*(($A172+5)/100)*SQRT(1+$B$10^2))&gt;0,(($B$9 * (($A172+5)/100))+($B$10 * (($A172+5)/100)^2))/($B$9+2*(($A172+5)/100)*SQRT(1+$B$10^2)),0)^(2/3))*SQRT($B$16),0))</f>
        <v/>
      </c>
      <c r="H172" s="30" t="str">
        <f>IF(($A172+6)&gt;$B$11, "", IF(IF(($B$9+2*(($A172+6)/100)*SQRT(1+$B$10^2))&gt;0,(($B$9 * (($A172+6)/100))+($B$10 * (($A172+6)/100)^2))/($B$9+2*(($A172+6)/100)*SQRT(1+$B$10^2)),0)&gt;0,(1/$B$17)*(IF(($B$9+2*(($A172+6)/100)*SQRT(1+$B$10^2))&gt;0,(($B$9 * (($A172+6)/100))+($B$10 * (($A172+6)/100)^2))/($B$9+2*(($A172+6)/100)*SQRT(1+$B$10^2)),0)^(2/3))*SQRT($B$16),0))</f>
        <v/>
      </c>
      <c r="I172" s="30" t="str">
        <f>IF(($A172+7)&gt;$B$11, "", IF(IF(($B$9+2*(($A172+7)/100)*SQRT(1+$B$10^2))&gt;0,(($B$9 * (($A172+7)/100))+($B$10 * (($A172+7)/100)^2))/($B$9+2*(($A172+7)/100)*SQRT(1+$B$10^2)),0)&gt;0,(1/$B$17)*(IF(($B$9+2*(($A172+7)/100)*SQRT(1+$B$10^2))&gt;0,(($B$9 * (($A172+7)/100))+($B$10 * (($A172+7)/100)^2))/($B$9+2*(($A172+7)/100)*SQRT(1+$B$10^2)),0)^(2/3))*SQRT($B$16),0))</f>
        <v/>
      </c>
      <c r="J172" s="30" t="str">
        <f>IF(($A172+8)&gt;$B$11, "", IF(IF(($B$9+2*(($A172+8)/100)*SQRT(1+$B$10^2))&gt;0,(($B$9 * (($A172+8)/100))+($B$10 * (($A172+8)/100)^2))/($B$9+2*(($A172+8)/100)*SQRT(1+$B$10^2)),0)&gt;0,(1/$B$17)*(IF(($B$9+2*(($A172+8)/100)*SQRT(1+$B$10^2))&gt;0,(($B$9 * (($A172+8)/100))+($B$10 * (($A172+8)/100)^2))/($B$9+2*(($A172+8)/100)*SQRT(1+$B$10^2)),0)^(2/3))*SQRT($B$16),0))</f>
        <v/>
      </c>
      <c r="K172" s="30" t="str">
        <f>IF(($A172+9)&gt;$B$11, "", IF(IF(($B$9+2*(($A172+9)/100)*SQRT(1+$B$10^2))&gt;0,(($B$9 * (($A172+9)/100))+($B$10 * (($A172+9)/100)^2))/($B$9+2*(($A172+9)/100)*SQRT(1+$B$10^2)),0)&gt;0,(1/$B$17)*(IF(($B$9+2*(($A172+9)/100)*SQRT(1+$B$10^2))&gt;0,(($B$9 * (($A172+9)/100))+($B$10 * (($A172+9)/100)^2))/($B$9+2*(($A172+9)/100)*SQRT(1+$B$10^2)),0)^(2/3))*SQRT($B$16),0))</f>
        <v/>
      </c>
    </row>
    <row r="173">
      <c r="A173" s="11">
        <v>290</v>
      </c>
      <c r="B173" s="30" t="str">
        <f>IF(($A173+0)&gt;$B$11, "", IF(IF(($B$9+2*(($A173+0)/100)*SQRT(1+$B$10^2))&gt;0,(($B$9 * (($A173+0)/100))+($B$10 * (($A173+0)/100)^2))/($B$9+2*(($A173+0)/100)*SQRT(1+$B$10^2)),0)&gt;0,(1/$B$17)*(IF(($B$9+2*(($A173+0)/100)*SQRT(1+$B$10^2))&gt;0,(($B$9 * (($A173+0)/100))+($B$10 * (($A173+0)/100)^2))/($B$9+2*(($A173+0)/100)*SQRT(1+$B$10^2)),0)^(2/3))*SQRT($B$16),0))</f>
        <v/>
      </c>
      <c r="C173" s="30" t="str">
        <f>IF(($A173+1)&gt;$B$11, "", IF(IF(($B$9+2*(($A173+1)/100)*SQRT(1+$B$10^2))&gt;0,(($B$9 * (($A173+1)/100))+($B$10 * (($A173+1)/100)^2))/($B$9+2*(($A173+1)/100)*SQRT(1+$B$10^2)),0)&gt;0,(1/$B$17)*(IF(($B$9+2*(($A173+1)/100)*SQRT(1+$B$10^2))&gt;0,(($B$9 * (($A173+1)/100))+($B$10 * (($A173+1)/100)^2))/($B$9+2*(($A173+1)/100)*SQRT(1+$B$10^2)),0)^(2/3))*SQRT($B$16),0))</f>
        <v/>
      </c>
      <c r="D173" s="30" t="str">
        <f>IF(($A173+2)&gt;$B$11, "", IF(IF(($B$9+2*(($A173+2)/100)*SQRT(1+$B$10^2))&gt;0,(($B$9 * (($A173+2)/100))+($B$10 * (($A173+2)/100)^2))/($B$9+2*(($A173+2)/100)*SQRT(1+$B$10^2)),0)&gt;0,(1/$B$17)*(IF(($B$9+2*(($A173+2)/100)*SQRT(1+$B$10^2))&gt;0,(($B$9 * (($A173+2)/100))+($B$10 * (($A173+2)/100)^2))/($B$9+2*(($A173+2)/100)*SQRT(1+$B$10^2)),0)^(2/3))*SQRT($B$16),0))</f>
        <v/>
      </c>
      <c r="E173" s="30" t="str">
        <f>IF(($A173+3)&gt;$B$11, "", IF(IF(($B$9+2*(($A173+3)/100)*SQRT(1+$B$10^2))&gt;0,(($B$9 * (($A173+3)/100))+($B$10 * (($A173+3)/100)^2))/($B$9+2*(($A173+3)/100)*SQRT(1+$B$10^2)),0)&gt;0,(1/$B$17)*(IF(($B$9+2*(($A173+3)/100)*SQRT(1+$B$10^2))&gt;0,(($B$9 * (($A173+3)/100))+($B$10 * (($A173+3)/100)^2))/($B$9+2*(($A173+3)/100)*SQRT(1+$B$10^2)),0)^(2/3))*SQRT($B$16),0))</f>
        <v/>
      </c>
      <c r="F173" s="30" t="str">
        <f>IF(($A173+4)&gt;$B$11, "", IF(IF(($B$9+2*(($A173+4)/100)*SQRT(1+$B$10^2))&gt;0,(($B$9 * (($A173+4)/100))+($B$10 * (($A173+4)/100)^2))/($B$9+2*(($A173+4)/100)*SQRT(1+$B$10^2)),0)&gt;0,(1/$B$17)*(IF(($B$9+2*(($A173+4)/100)*SQRT(1+$B$10^2))&gt;0,(($B$9 * (($A173+4)/100))+($B$10 * (($A173+4)/100)^2))/($B$9+2*(($A173+4)/100)*SQRT(1+$B$10^2)),0)^(2/3))*SQRT($B$16),0))</f>
        <v/>
      </c>
      <c r="G173" s="30" t="str">
        <f>IF(($A173+5)&gt;$B$11, "", IF(IF(($B$9+2*(($A173+5)/100)*SQRT(1+$B$10^2))&gt;0,(($B$9 * (($A173+5)/100))+($B$10 * (($A173+5)/100)^2))/($B$9+2*(($A173+5)/100)*SQRT(1+$B$10^2)),0)&gt;0,(1/$B$17)*(IF(($B$9+2*(($A173+5)/100)*SQRT(1+$B$10^2))&gt;0,(($B$9 * (($A173+5)/100))+($B$10 * (($A173+5)/100)^2))/($B$9+2*(($A173+5)/100)*SQRT(1+$B$10^2)),0)^(2/3))*SQRT($B$16),0))</f>
        <v/>
      </c>
      <c r="H173" s="30" t="str">
        <f>IF(($A173+6)&gt;$B$11, "", IF(IF(($B$9+2*(($A173+6)/100)*SQRT(1+$B$10^2))&gt;0,(($B$9 * (($A173+6)/100))+($B$10 * (($A173+6)/100)^2))/($B$9+2*(($A173+6)/100)*SQRT(1+$B$10^2)),0)&gt;0,(1/$B$17)*(IF(($B$9+2*(($A173+6)/100)*SQRT(1+$B$10^2))&gt;0,(($B$9 * (($A173+6)/100))+($B$10 * (($A173+6)/100)^2))/($B$9+2*(($A173+6)/100)*SQRT(1+$B$10^2)),0)^(2/3))*SQRT($B$16),0))</f>
        <v/>
      </c>
      <c r="I173" s="30" t="str">
        <f>IF(($A173+7)&gt;$B$11, "", IF(IF(($B$9+2*(($A173+7)/100)*SQRT(1+$B$10^2))&gt;0,(($B$9 * (($A173+7)/100))+($B$10 * (($A173+7)/100)^2))/($B$9+2*(($A173+7)/100)*SQRT(1+$B$10^2)),0)&gt;0,(1/$B$17)*(IF(($B$9+2*(($A173+7)/100)*SQRT(1+$B$10^2))&gt;0,(($B$9 * (($A173+7)/100))+($B$10 * (($A173+7)/100)^2))/($B$9+2*(($A173+7)/100)*SQRT(1+$B$10^2)),0)^(2/3))*SQRT($B$16),0))</f>
        <v/>
      </c>
      <c r="J173" s="30" t="str">
        <f>IF(($A173+8)&gt;$B$11, "", IF(IF(($B$9+2*(($A173+8)/100)*SQRT(1+$B$10^2))&gt;0,(($B$9 * (($A173+8)/100))+($B$10 * (($A173+8)/100)^2))/($B$9+2*(($A173+8)/100)*SQRT(1+$B$10^2)),0)&gt;0,(1/$B$17)*(IF(($B$9+2*(($A173+8)/100)*SQRT(1+$B$10^2))&gt;0,(($B$9 * (($A173+8)/100))+($B$10 * (($A173+8)/100)^2))/($B$9+2*(($A173+8)/100)*SQRT(1+$B$10^2)),0)^(2/3))*SQRT($B$16),0))</f>
        <v/>
      </c>
      <c r="K173" s="30" t="str">
        <f>IF(($A173+9)&gt;$B$11, "", IF(IF(($B$9+2*(($A173+9)/100)*SQRT(1+$B$10^2))&gt;0,(($B$9 * (($A173+9)/100))+($B$10 * (($A173+9)/100)^2))/($B$9+2*(($A173+9)/100)*SQRT(1+$B$10^2)),0)&gt;0,(1/$B$17)*(IF(($B$9+2*(($A173+9)/100)*SQRT(1+$B$10^2))&gt;0,(($B$9 * (($A173+9)/100))+($B$10 * (($A173+9)/100)^2))/($B$9+2*(($A173+9)/100)*SQRT(1+$B$10^2)),0)^(2/3))*SQRT($B$16),0))</f>
        <v/>
      </c>
    </row>
    <row r="174">
      <c r="A174" s="11">
        <v>300</v>
      </c>
      <c r="B174" s="30" t="str">
        <f>IF(($A174+0)&gt;$B$11, "", IF(IF(($B$9+2*(($A174+0)/100)*SQRT(1+$B$10^2))&gt;0,(($B$9 * (($A174+0)/100))+($B$10 * (($A174+0)/100)^2))/($B$9+2*(($A174+0)/100)*SQRT(1+$B$10^2)),0)&gt;0,(1/$B$17)*(IF(($B$9+2*(($A174+0)/100)*SQRT(1+$B$10^2))&gt;0,(($B$9 * (($A174+0)/100))+($B$10 * (($A174+0)/100)^2))/($B$9+2*(($A174+0)/100)*SQRT(1+$B$10^2)),0)^(2/3))*SQRT($B$16),0))</f>
        <v/>
      </c>
      <c r="C174" s="30" t="str">
        <f>IF(($A174+1)&gt;$B$11, "", IF(IF(($B$9+2*(($A174+1)/100)*SQRT(1+$B$10^2))&gt;0,(($B$9 * (($A174+1)/100))+($B$10 * (($A174+1)/100)^2))/($B$9+2*(($A174+1)/100)*SQRT(1+$B$10^2)),0)&gt;0,(1/$B$17)*(IF(($B$9+2*(($A174+1)/100)*SQRT(1+$B$10^2))&gt;0,(($B$9 * (($A174+1)/100))+($B$10 * (($A174+1)/100)^2))/($B$9+2*(($A174+1)/100)*SQRT(1+$B$10^2)),0)^(2/3))*SQRT($B$16),0))</f>
        <v/>
      </c>
      <c r="D174" s="30" t="str">
        <f>IF(($A174+2)&gt;$B$11, "", IF(IF(($B$9+2*(($A174+2)/100)*SQRT(1+$B$10^2))&gt;0,(($B$9 * (($A174+2)/100))+($B$10 * (($A174+2)/100)^2))/($B$9+2*(($A174+2)/100)*SQRT(1+$B$10^2)),0)&gt;0,(1/$B$17)*(IF(($B$9+2*(($A174+2)/100)*SQRT(1+$B$10^2))&gt;0,(($B$9 * (($A174+2)/100))+($B$10 * (($A174+2)/100)^2))/($B$9+2*(($A174+2)/100)*SQRT(1+$B$10^2)),0)^(2/3))*SQRT($B$16),0))</f>
        <v/>
      </c>
      <c r="E174" s="30" t="str">
        <f>IF(($A174+3)&gt;$B$11, "", IF(IF(($B$9+2*(($A174+3)/100)*SQRT(1+$B$10^2))&gt;0,(($B$9 * (($A174+3)/100))+($B$10 * (($A174+3)/100)^2))/($B$9+2*(($A174+3)/100)*SQRT(1+$B$10^2)),0)&gt;0,(1/$B$17)*(IF(($B$9+2*(($A174+3)/100)*SQRT(1+$B$10^2))&gt;0,(($B$9 * (($A174+3)/100))+($B$10 * (($A174+3)/100)^2))/($B$9+2*(($A174+3)/100)*SQRT(1+$B$10^2)),0)^(2/3))*SQRT($B$16),0))</f>
        <v/>
      </c>
      <c r="F174" s="30" t="str">
        <f>IF(($A174+4)&gt;$B$11, "", IF(IF(($B$9+2*(($A174+4)/100)*SQRT(1+$B$10^2))&gt;0,(($B$9 * (($A174+4)/100))+($B$10 * (($A174+4)/100)^2))/($B$9+2*(($A174+4)/100)*SQRT(1+$B$10^2)),0)&gt;0,(1/$B$17)*(IF(($B$9+2*(($A174+4)/100)*SQRT(1+$B$10^2))&gt;0,(($B$9 * (($A174+4)/100))+($B$10 * (($A174+4)/100)^2))/($B$9+2*(($A174+4)/100)*SQRT(1+$B$10^2)),0)^(2/3))*SQRT($B$16),0))</f>
        <v/>
      </c>
      <c r="G174" s="30" t="str">
        <f>IF(($A174+5)&gt;$B$11, "", IF(IF(($B$9+2*(($A174+5)/100)*SQRT(1+$B$10^2))&gt;0,(($B$9 * (($A174+5)/100))+($B$10 * (($A174+5)/100)^2))/($B$9+2*(($A174+5)/100)*SQRT(1+$B$10^2)),0)&gt;0,(1/$B$17)*(IF(($B$9+2*(($A174+5)/100)*SQRT(1+$B$10^2))&gt;0,(($B$9 * (($A174+5)/100))+($B$10 * (($A174+5)/100)^2))/($B$9+2*(($A174+5)/100)*SQRT(1+$B$10^2)),0)^(2/3))*SQRT($B$16),0))</f>
        <v/>
      </c>
      <c r="H174" s="30" t="str">
        <f>IF(($A174+6)&gt;$B$11, "", IF(IF(($B$9+2*(($A174+6)/100)*SQRT(1+$B$10^2))&gt;0,(($B$9 * (($A174+6)/100))+($B$10 * (($A174+6)/100)^2))/($B$9+2*(($A174+6)/100)*SQRT(1+$B$10^2)),0)&gt;0,(1/$B$17)*(IF(($B$9+2*(($A174+6)/100)*SQRT(1+$B$10^2))&gt;0,(($B$9 * (($A174+6)/100))+($B$10 * (($A174+6)/100)^2))/($B$9+2*(($A174+6)/100)*SQRT(1+$B$10^2)),0)^(2/3))*SQRT($B$16),0))</f>
        <v/>
      </c>
      <c r="I174" s="30" t="str">
        <f>IF(($A174+7)&gt;$B$11, "", IF(IF(($B$9+2*(($A174+7)/100)*SQRT(1+$B$10^2))&gt;0,(($B$9 * (($A174+7)/100))+($B$10 * (($A174+7)/100)^2))/($B$9+2*(($A174+7)/100)*SQRT(1+$B$10^2)),0)&gt;0,(1/$B$17)*(IF(($B$9+2*(($A174+7)/100)*SQRT(1+$B$10^2))&gt;0,(($B$9 * (($A174+7)/100))+($B$10 * (($A174+7)/100)^2))/($B$9+2*(($A174+7)/100)*SQRT(1+$B$10^2)),0)^(2/3))*SQRT($B$16),0))</f>
        <v/>
      </c>
      <c r="J174" s="30" t="str">
        <f>IF(($A174+8)&gt;$B$11, "", IF(IF(($B$9+2*(($A174+8)/100)*SQRT(1+$B$10^2))&gt;0,(($B$9 * (($A174+8)/100))+($B$10 * (($A174+8)/100)^2))/($B$9+2*(($A174+8)/100)*SQRT(1+$B$10^2)),0)&gt;0,(1/$B$17)*(IF(($B$9+2*(($A174+8)/100)*SQRT(1+$B$10^2))&gt;0,(($B$9 * (($A174+8)/100))+($B$10 * (($A174+8)/100)^2))/($B$9+2*(($A174+8)/100)*SQRT(1+$B$10^2)),0)^(2/3))*SQRT($B$16),0))</f>
        <v/>
      </c>
      <c r="K174" s="30" t="str">
        <f>IF(($A174+9)&gt;$B$11, "", IF(IF(($B$9+2*(($A174+9)/100)*SQRT(1+$B$10^2))&gt;0,(($B$9 * (($A174+9)/100))+($B$10 * (($A174+9)/100)^2))/($B$9+2*(($A174+9)/100)*SQRT(1+$B$10^2)),0)&gt;0,(1/$B$17)*(IF(($B$9+2*(($A174+9)/100)*SQRT(1+$B$10^2))&gt;0,(($B$9 * (($A174+9)/100))+($B$10 * (($A174+9)/100)^2))/($B$9+2*(($A174+9)/100)*SQRT(1+$B$10^2)),0)^(2/3))*SQRT($B$16),0))</f>
        <v/>
      </c>
    </row>
    <row r="175">
      <c r="A175" s="11">
        <v>310</v>
      </c>
      <c r="B175" s="30" t="str">
        <f>IF(($A175+0)&gt;$B$11, "", IF(IF(($B$9+2*(($A175+0)/100)*SQRT(1+$B$10^2))&gt;0,(($B$9 * (($A175+0)/100))+($B$10 * (($A175+0)/100)^2))/($B$9+2*(($A175+0)/100)*SQRT(1+$B$10^2)),0)&gt;0,(1/$B$17)*(IF(($B$9+2*(($A175+0)/100)*SQRT(1+$B$10^2))&gt;0,(($B$9 * (($A175+0)/100))+($B$10 * (($A175+0)/100)^2))/($B$9+2*(($A175+0)/100)*SQRT(1+$B$10^2)),0)^(2/3))*SQRT($B$16),0))</f>
        <v/>
      </c>
      <c r="C175" s="30" t="str">
        <f>IF(($A175+1)&gt;$B$11, "", IF(IF(($B$9+2*(($A175+1)/100)*SQRT(1+$B$10^2))&gt;0,(($B$9 * (($A175+1)/100))+($B$10 * (($A175+1)/100)^2))/($B$9+2*(($A175+1)/100)*SQRT(1+$B$10^2)),0)&gt;0,(1/$B$17)*(IF(($B$9+2*(($A175+1)/100)*SQRT(1+$B$10^2))&gt;0,(($B$9 * (($A175+1)/100))+($B$10 * (($A175+1)/100)^2))/($B$9+2*(($A175+1)/100)*SQRT(1+$B$10^2)),0)^(2/3))*SQRT($B$16),0))</f>
        <v/>
      </c>
      <c r="D175" s="30" t="str">
        <f>IF(($A175+2)&gt;$B$11, "", IF(IF(($B$9+2*(($A175+2)/100)*SQRT(1+$B$10^2))&gt;0,(($B$9 * (($A175+2)/100))+($B$10 * (($A175+2)/100)^2))/($B$9+2*(($A175+2)/100)*SQRT(1+$B$10^2)),0)&gt;0,(1/$B$17)*(IF(($B$9+2*(($A175+2)/100)*SQRT(1+$B$10^2))&gt;0,(($B$9 * (($A175+2)/100))+($B$10 * (($A175+2)/100)^2))/($B$9+2*(($A175+2)/100)*SQRT(1+$B$10^2)),0)^(2/3))*SQRT($B$16),0))</f>
        <v/>
      </c>
      <c r="E175" s="30" t="str">
        <f>IF(($A175+3)&gt;$B$11, "", IF(IF(($B$9+2*(($A175+3)/100)*SQRT(1+$B$10^2))&gt;0,(($B$9 * (($A175+3)/100))+($B$10 * (($A175+3)/100)^2))/($B$9+2*(($A175+3)/100)*SQRT(1+$B$10^2)),0)&gt;0,(1/$B$17)*(IF(($B$9+2*(($A175+3)/100)*SQRT(1+$B$10^2))&gt;0,(($B$9 * (($A175+3)/100))+($B$10 * (($A175+3)/100)^2))/($B$9+2*(($A175+3)/100)*SQRT(1+$B$10^2)),0)^(2/3))*SQRT($B$16),0))</f>
        <v/>
      </c>
      <c r="F175" s="30" t="str">
        <f>IF(($A175+4)&gt;$B$11, "", IF(IF(($B$9+2*(($A175+4)/100)*SQRT(1+$B$10^2))&gt;0,(($B$9 * (($A175+4)/100))+($B$10 * (($A175+4)/100)^2))/($B$9+2*(($A175+4)/100)*SQRT(1+$B$10^2)),0)&gt;0,(1/$B$17)*(IF(($B$9+2*(($A175+4)/100)*SQRT(1+$B$10^2))&gt;0,(($B$9 * (($A175+4)/100))+($B$10 * (($A175+4)/100)^2))/($B$9+2*(($A175+4)/100)*SQRT(1+$B$10^2)),0)^(2/3))*SQRT($B$16),0))</f>
        <v/>
      </c>
      <c r="G175" s="30" t="str">
        <f>IF(($A175+5)&gt;$B$11, "", IF(IF(($B$9+2*(($A175+5)/100)*SQRT(1+$B$10^2))&gt;0,(($B$9 * (($A175+5)/100))+($B$10 * (($A175+5)/100)^2))/($B$9+2*(($A175+5)/100)*SQRT(1+$B$10^2)),0)&gt;0,(1/$B$17)*(IF(($B$9+2*(($A175+5)/100)*SQRT(1+$B$10^2))&gt;0,(($B$9 * (($A175+5)/100))+($B$10 * (($A175+5)/100)^2))/($B$9+2*(($A175+5)/100)*SQRT(1+$B$10^2)),0)^(2/3))*SQRT($B$16),0))</f>
        <v/>
      </c>
      <c r="H175" s="30" t="str">
        <f>IF(($A175+6)&gt;$B$11, "", IF(IF(($B$9+2*(($A175+6)/100)*SQRT(1+$B$10^2))&gt;0,(($B$9 * (($A175+6)/100))+($B$10 * (($A175+6)/100)^2))/($B$9+2*(($A175+6)/100)*SQRT(1+$B$10^2)),0)&gt;0,(1/$B$17)*(IF(($B$9+2*(($A175+6)/100)*SQRT(1+$B$10^2))&gt;0,(($B$9 * (($A175+6)/100))+($B$10 * (($A175+6)/100)^2))/($B$9+2*(($A175+6)/100)*SQRT(1+$B$10^2)),0)^(2/3))*SQRT($B$16),0))</f>
        <v/>
      </c>
      <c r="I175" s="30" t="str">
        <f>IF(($A175+7)&gt;$B$11, "", IF(IF(($B$9+2*(($A175+7)/100)*SQRT(1+$B$10^2))&gt;0,(($B$9 * (($A175+7)/100))+($B$10 * (($A175+7)/100)^2))/($B$9+2*(($A175+7)/100)*SQRT(1+$B$10^2)),0)&gt;0,(1/$B$17)*(IF(($B$9+2*(($A175+7)/100)*SQRT(1+$B$10^2))&gt;0,(($B$9 * (($A175+7)/100))+($B$10 * (($A175+7)/100)^2))/($B$9+2*(($A175+7)/100)*SQRT(1+$B$10^2)),0)^(2/3))*SQRT($B$16),0))</f>
        <v/>
      </c>
      <c r="J175" s="30" t="str">
        <f>IF(($A175+8)&gt;$B$11, "", IF(IF(($B$9+2*(($A175+8)/100)*SQRT(1+$B$10^2))&gt;0,(($B$9 * (($A175+8)/100))+($B$10 * (($A175+8)/100)^2))/($B$9+2*(($A175+8)/100)*SQRT(1+$B$10^2)),0)&gt;0,(1/$B$17)*(IF(($B$9+2*(($A175+8)/100)*SQRT(1+$B$10^2))&gt;0,(($B$9 * (($A175+8)/100))+($B$10 * (($A175+8)/100)^2))/($B$9+2*(($A175+8)/100)*SQRT(1+$B$10^2)),0)^(2/3))*SQRT($B$16),0))</f>
        <v/>
      </c>
      <c r="K175" s="30" t="str">
        <f>IF(($A175+9)&gt;$B$11, "", IF(IF(($B$9+2*(($A175+9)/100)*SQRT(1+$B$10^2))&gt;0,(($B$9 * (($A175+9)/100))+($B$10 * (($A175+9)/100)^2))/($B$9+2*(($A175+9)/100)*SQRT(1+$B$10^2)),0)&gt;0,(1/$B$17)*(IF(($B$9+2*(($A175+9)/100)*SQRT(1+$B$10^2))&gt;0,(($B$9 * (($A175+9)/100))+($B$10 * (($A175+9)/100)^2))/($B$9+2*(($A175+9)/100)*SQRT(1+$B$10^2)),0)^(2/3))*SQRT($B$16),0))</f>
        <v/>
      </c>
    </row>
    <row r="176">
      <c r="A176" s="11">
        <v>320</v>
      </c>
      <c r="B176" s="30" t="str">
        <f>IF(($A176+0)&gt;$B$11, "", IF(IF(($B$9+2*(($A176+0)/100)*SQRT(1+$B$10^2))&gt;0,(($B$9 * (($A176+0)/100))+($B$10 * (($A176+0)/100)^2))/($B$9+2*(($A176+0)/100)*SQRT(1+$B$10^2)),0)&gt;0,(1/$B$17)*(IF(($B$9+2*(($A176+0)/100)*SQRT(1+$B$10^2))&gt;0,(($B$9 * (($A176+0)/100))+($B$10 * (($A176+0)/100)^2))/($B$9+2*(($A176+0)/100)*SQRT(1+$B$10^2)),0)^(2/3))*SQRT($B$16),0))</f>
        <v/>
      </c>
      <c r="C176" s="30" t="str">
        <f>IF(($A176+1)&gt;$B$11, "", IF(IF(($B$9+2*(($A176+1)/100)*SQRT(1+$B$10^2))&gt;0,(($B$9 * (($A176+1)/100))+($B$10 * (($A176+1)/100)^2))/($B$9+2*(($A176+1)/100)*SQRT(1+$B$10^2)),0)&gt;0,(1/$B$17)*(IF(($B$9+2*(($A176+1)/100)*SQRT(1+$B$10^2))&gt;0,(($B$9 * (($A176+1)/100))+($B$10 * (($A176+1)/100)^2))/($B$9+2*(($A176+1)/100)*SQRT(1+$B$10^2)),0)^(2/3))*SQRT($B$16),0))</f>
        <v/>
      </c>
      <c r="D176" s="30" t="str">
        <f>IF(($A176+2)&gt;$B$11, "", IF(IF(($B$9+2*(($A176+2)/100)*SQRT(1+$B$10^2))&gt;0,(($B$9 * (($A176+2)/100))+($B$10 * (($A176+2)/100)^2))/($B$9+2*(($A176+2)/100)*SQRT(1+$B$10^2)),0)&gt;0,(1/$B$17)*(IF(($B$9+2*(($A176+2)/100)*SQRT(1+$B$10^2))&gt;0,(($B$9 * (($A176+2)/100))+($B$10 * (($A176+2)/100)^2))/($B$9+2*(($A176+2)/100)*SQRT(1+$B$10^2)),0)^(2/3))*SQRT($B$16),0))</f>
        <v/>
      </c>
      <c r="E176" s="30" t="str">
        <f>IF(($A176+3)&gt;$B$11, "", IF(IF(($B$9+2*(($A176+3)/100)*SQRT(1+$B$10^2))&gt;0,(($B$9 * (($A176+3)/100))+($B$10 * (($A176+3)/100)^2))/($B$9+2*(($A176+3)/100)*SQRT(1+$B$10^2)),0)&gt;0,(1/$B$17)*(IF(($B$9+2*(($A176+3)/100)*SQRT(1+$B$10^2))&gt;0,(($B$9 * (($A176+3)/100))+($B$10 * (($A176+3)/100)^2))/($B$9+2*(($A176+3)/100)*SQRT(1+$B$10^2)),0)^(2/3))*SQRT($B$16),0))</f>
        <v/>
      </c>
      <c r="F176" s="30" t="str">
        <f>IF(($A176+4)&gt;$B$11, "", IF(IF(($B$9+2*(($A176+4)/100)*SQRT(1+$B$10^2))&gt;0,(($B$9 * (($A176+4)/100))+($B$10 * (($A176+4)/100)^2))/($B$9+2*(($A176+4)/100)*SQRT(1+$B$10^2)),0)&gt;0,(1/$B$17)*(IF(($B$9+2*(($A176+4)/100)*SQRT(1+$B$10^2))&gt;0,(($B$9 * (($A176+4)/100))+($B$10 * (($A176+4)/100)^2))/($B$9+2*(($A176+4)/100)*SQRT(1+$B$10^2)),0)^(2/3))*SQRT($B$16),0))</f>
        <v/>
      </c>
      <c r="G176" s="30" t="str">
        <f>IF(($A176+5)&gt;$B$11, "", IF(IF(($B$9+2*(($A176+5)/100)*SQRT(1+$B$10^2))&gt;0,(($B$9 * (($A176+5)/100))+($B$10 * (($A176+5)/100)^2))/($B$9+2*(($A176+5)/100)*SQRT(1+$B$10^2)),0)&gt;0,(1/$B$17)*(IF(($B$9+2*(($A176+5)/100)*SQRT(1+$B$10^2))&gt;0,(($B$9 * (($A176+5)/100))+($B$10 * (($A176+5)/100)^2))/($B$9+2*(($A176+5)/100)*SQRT(1+$B$10^2)),0)^(2/3))*SQRT($B$16),0))</f>
        <v/>
      </c>
      <c r="H176" s="30" t="str">
        <f>IF(($A176+6)&gt;$B$11, "", IF(IF(($B$9+2*(($A176+6)/100)*SQRT(1+$B$10^2))&gt;0,(($B$9 * (($A176+6)/100))+($B$10 * (($A176+6)/100)^2))/($B$9+2*(($A176+6)/100)*SQRT(1+$B$10^2)),0)&gt;0,(1/$B$17)*(IF(($B$9+2*(($A176+6)/100)*SQRT(1+$B$10^2))&gt;0,(($B$9 * (($A176+6)/100))+($B$10 * (($A176+6)/100)^2))/($B$9+2*(($A176+6)/100)*SQRT(1+$B$10^2)),0)^(2/3))*SQRT($B$16),0))</f>
        <v/>
      </c>
      <c r="I176" s="30" t="str">
        <f>IF(($A176+7)&gt;$B$11, "", IF(IF(($B$9+2*(($A176+7)/100)*SQRT(1+$B$10^2))&gt;0,(($B$9 * (($A176+7)/100))+($B$10 * (($A176+7)/100)^2))/($B$9+2*(($A176+7)/100)*SQRT(1+$B$10^2)),0)&gt;0,(1/$B$17)*(IF(($B$9+2*(($A176+7)/100)*SQRT(1+$B$10^2))&gt;0,(($B$9 * (($A176+7)/100))+($B$10 * (($A176+7)/100)^2))/($B$9+2*(($A176+7)/100)*SQRT(1+$B$10^2)),0)^(2/3))*SQRT($B$16),0))</f>
        <v/>
      </c>
      <c r="J176" s="30" t="str">
        <f>IF(($A176+8)&gt;$B$11, "", IF(IF(($B$9+2*(($A176+8)/100)*SQRT(1+$B$10^2))&gt;0,(($B$9 * (($A176+8)/100))+($B$10 * (($A176+8)/100)^2))/($B$9+2*(($A176+8)/100)*SQRT(1+$B$10^2)),0)&gt;0,(1/$B$17)*(IF(($B$9+2*(($A176+8)/100)*SQRT(1+$B$10^2))&gt;0,(($B$9 * (($A176+8)/100))+($B$10 * (($A176+8)/100)^2))/($B$9+2*(($A176+8)/100)*SQRT(1+$B$10^2)),0)^(2/3))*SQRT($B$16),0))</f>
        <v/>
      </c>
      <c r="K176" s="30" t="str">
        <f>IF(($A176+9)&gt;$B$11, "", IF(IF(($B$9+2*(($A176+9)/100)*SQRT(1+$B$10^2))&gt;0,(($B$9 * (($A176+9)/100))+($B$10 * (($A176+9)/100)^2))/($B$9+2*(($A176+9)/100)*SQRT(1+$B$10^2)),0)&gt;0,(1/$B$17)*(IF(($B$9+2*(($A176+9)/100)*SQRT(1+$B$10^2))&gt;0,(($B$9 * (($A176+9)/100))+($B$10 * (($A176+9)/100)^2))/($B$9+2*(($A176+9)/100)*SQRT(1+$B$10^2)),0)^(2/3))*SQRT($B$16),0))</f>
        <v/>
      </c>
    </row>
    <row r="177">
      <c r="A177" s="11">
        <v>330</v>
      </c>
      <c r="B177" s="30" t="str">
        <f>IF(($A177+0)&gt;$B$11, "", IF(IF(($B$9+2*(($A177+0)/100)*SQRT(1+$B$10^2))&gt;0,(($B$9 * (($A177+0)/100))+($B$10 * (($A177+0)/100)^2))/($B$9+2*(($A177+0)/100)*SQRT(1+$B$10^2)),0)&gt;0,(1/$B$17)*(IF(($B$9+2*(($A177+0)/100)*SQRT(1+$B$10^2))&gt;0,(($B$9 * (($A177+0)/100))+($B$10 * (($A177+0)/100)^2))/($B$9+2*(($A177+0)/100)*SQRT(1+$B$10^2)),0)^(2/3))*SQRT($B$16),0))</f>
        <v/>
      </c>
      <c r="C177" s="30" t="str">
        <f>IF(($A177+1)&gt;$B$11, "", IF(IF(($B$9+2*(($A177+1)/100)*SQRT(1+$B$10^2))&gt;0,(($B$9 * (($A177+1)/100))+($B$10 * (($A177+1)/100)^2))/($B$9+2*(($A177+1)/100)*SQRT(1+$B$10^2)),0)&gt;0,(1/$B$17)*(IF(($B$9+2*(($A177+1)/100)*SQRT(1+$B$10^2))&gt;0,(($B$9 * (($A177+1)/100))+($B$10 * (($A177+1)/100)^2))/($B$9+2*(($A177+1)/100)*SQRT(1+$B$10^2)),0)^(2/3))*SQRT($B$16),0))</f>
        <v/>
      </c>
      <c r="D177" s="30" t="str">
        <f>IF(($A177+2)&gt;$B$11, "", IF(IF(($B$9+2*(($A177+2)/100)*SQRT(1+$B$10^2))&gt;0,(($B$9 * (($A177+2)/100))+($B$10 * (($A177+2)/100)^2))/($B$9+2*(($A177+2)/100)*SQRT(1+$B$10^2)),0)&gt;0,(1/$B$17)*(IF(($B$9+2*(($A177+2)/100)*SQRT(1+$B$10^2))&gt;0,(($B$9 * (($A177+2)/100))+($B$10 * (($A177+2)/100)^2))/($B$9+2*(($A177+2)/100)*SQRT(1+$B$10^2)),0)^(2/3))*SQRT($B$16),0))</f>
        <v/>
      </c>
      <c r="E177" s="30" t="str">
        <f>IF(($A177+3)&gt;$B$11, "", IF(IF(($B$9+2*(($A177+3)/100)*SQRT(1+$B$10^2))&gt;0,(($B$9 * (($A177+3)/100))+($B$10 * (($A177+3)/100)^2))/($B$9+2*(($A177+3)/100)*SQRT(1+$B$10^2)),0)&gt;0,(1/$B$17)*(IF(($B$9+2*(($A177+3)/100)*SQRT(1+$B$10^2))&gt;0,(($B$9 * (($A177+3)/100))+($B$10 * (($A177+3)/100)^2))/($B$9+2*(($A177+3)/100)*SQRT(1+$B$10^2)),0)^(2/3))*SQRT($B$16),0))</f>
        <v/>
      </c>
      <c r="F177" s="30" t="str">
        <f>IF(($A177+4)&gt;$B$11, "", IF(IF(($B$9+2*(($A177+4)/100)*SQRT(1+$B$10^2))&gt;0,(($B$9 * (($A177+4)/100))+($B$10 * (($A177+4)/100)^2))/($B$9+2*(($A177+4)/100)*SQRT(1+$B$10^2)),0)&gt;0,(1/$B$17)*(IF(($B$9+2*(($A177+4)/100)*SQRT(1+$B$10^2))&gt;0,(($B$9 * (($A177+4)/100))+($B$10 * (($A177+4)/100)^2))/($B$9+2*(($A177+4)/100)*SQRT(1+$B$10^2)),0)^(2/3))*SQRT($B$16),0))</f>
        <v/>
      </c>
      <c r="G177" s="30" t="str">
        <f>IF(($A177+5)&gt;$B$11, "", IF(IF(($B$9+2*(($A177+5)/100)*SQRT(1+$B$10^2))&gt;0,(($B$9 * (($A177+5)/100))+($B$10 * (($A177+5)/100)^2))/($B$9+2*(($A177+5)/100)*SQRT(1+$B$10^2)),0)&gt;0,(1/$B$17)*(IF(($B$9+2*(($A177+5)/100)*SQRT(1+$B$10^2))&gt;0,(($B$9 * (($A177+5)/100))+($B$10 * (($A177+5)/100)^2))/($B$9+2*(($A177+5)/100)*SQRT(1+$B$10^2)),0)^(2/3))*SQRT($B$16),0))</f>
        <v/>
      </c>
      <c r="H177" s="30" t="str">
        <f>IF(($A177+6)&gt;$B$11, "", IF(IF(($B$9+2*(($A177+6)/100)*SQRT(1+$B$10^2))&gt;0,(($B$9 * (($A177+6)/100))+($B$10 * (($A177+6)/100)^2))/($B$9+2*(($A177+6)/100)*SQRT(1+$B$10^2)),0)&gt;0,(1/$B$17)*(IF(($B$9+2*(($A177+6)/100)*SQRT(1+$B$10^2))&gt;0,(($B$9 * (($A177+6)/100))+($B$10 * (($A177+6)/100)^2))/($B$9+2*(($A177+6)/100)*SQRT(1+$B$10^2)),0)^(2/3))*SQRT($B$16),0))</f>
        <v/>
      </c>
      <c r="I177" s="30" t="str">
        <f>IF(($A177+7)&gt;$B$11, "", IF(IF(($B$9+2*(($A177+7)/100)*SQRT(1+$B$10^2))&gt;0,(($B$9 * (($A177+7)/100))+($B$10 * (($A177+7)/100)^2))/($B$9+2*(($A177+7)/100)*SQRT(1+$B$10^2)),0)&gt;0,(1/$B$17)*(IF(($B$9+2*(($A177+7)/100)*SQRT(1+$B$10^2))&gt;0,(($B$9 * (($A177+7)/100))+($B$10 * (($A177+7)/100)^2))/($B$9+2*(($A177+7)/100)*SQRT(1+$B$10^2)),0)^(2/3))*SQRT($B$16),0))</f>
        <v/>
      </c>
      <c r="J177" s="30" t="str">
        <f>IF(($A177+8)&gt;$B$11, "", IF(IF(($B$9+2*(($A177+8)/100)*SQRT(1+$B$10^2))&gt;0,(($B$9 * (($A177+8)/100))+($B$10 * (($A177+8)/100)^2))/($B$9+2*(($A177+8)/100)*SQRT(1+$B$10^2)),0)&gt;0,(1/$B$17)*(IF(($B$9+2*(($A177+8)/100)*SQRT(1+$B$10^2))&gt;0,(($B$9 * (($A177+8)/100))+($B$10 * (($A177+8)/100)^2))/($B$9+2*(($A177+8)/100)*SQRT(1+$B$10^2)),0)^(2/3))*SQRT($B$16),0))</f>
        <v/>
      </c>
      <c r="K177" s="30" t="str">
        <f>IF(($A177+9)&gt;$B$11, "", IF(IF(($B$9+2*(($A177+9)/100)*SQRT(1+$B$10^2))&gt;0,(($B$9 * (($A177+9)/100))+($B$10 * (($A177+9)/100)^2))/($B$9+2*(($A177+9)/100)*SQRT(1+$B$10^2)),0)&gt;0,(1/$B$17)*(IF(($B$9+2*(($A177+9)/100)*SQRT(1+$B$10^2))&gt;0,(($B$9 * (($A177+9)/100))+($B$10 * (($A177+9)/100)^2))/($B$9+2*(($A177+9)/100)*SQRT(1+$B$10^2)),0)^(2/3))*SQRT($B$16),0))</f>
        <v/>
      </c>
    </row>
    <row r="178">
      <c r="A178" s="11">
        <v>340</v>
      </c>
      <c r="B178" s="30" t="str">
        <f>IF(($A178+0)&gt;$B$11, "", IF(IF(($B$9+2*(($A178+0)/100)*SQRT(1+$B$10^2))&gt;0,(($B$9 * (($A178+0)/100))+($B$10 * (($A178+0)/100)^2))/($B$9+2*(($A178+0)/100)*SQRT(1+$B$10^2)),0)&gt;0,(1/$B$17)*(IF(($B$9+2*(($A178+0)/100)*SQRT(1+$B$10^2))&gt;0,(($B$9 * (($A178+0)/100))+($B$10 * (($A178+0)/100)^2))/($B$9+2*(($A178+0)/100)*SQRT(1+$B$10^2)),0)^(2/3))*SQRT($B$16),0))</f>
        <v/>
      </c>
      <c r="C178" s="30" t="str">
        <f>IF(($A178+1)&gt;$B$11, "", IF(IF(($B$9+2*(($A178+1)/100)*SQRT(1+$B$10^2))&gt;0,(($B$9 * (($A178+1)/100))+($B$10 * (($A178+1)/100)^2))/($B$9+2*(($A178+1)/100)*SQRT(1+$B$10^2)),0)&gt;0,(1/$B$17)*(IF(($B$9+2*(($A178+1)/100)*SQRT(1+$B$10^2))&gt;0,(($B$9 * (($A178+1)/100))+($B$10 * (($A178+1)/100)^2))/($B$9+2*(($A178+1)/100)*SQRT(1+$B$10^2)),0)^(2/3))*SQRT($B$16),0))</f>
        <v/>
      </c>
      <c r="D178" s="30" t="str">
        <f>IF(($A178+2)&gt;$B$11, "", IF(IF(($B$9+2*(($A178+2)/100)*SQRT(1+$B$10^2))&gt;0,(($B$9 * (($A178+2)/100))+($B$10 * (($A178+2)/100)^2))/($B$9+2*(($A178+2)/100)*SQRT(1+$B$10^2)),0)&gt;0,(1/$B$17)*(IF(($B$9+2*(($A178+2)/100)*SQRT(1+$B$10^2))&gt;0,(($B$9 * (($A178+2)/100))+($B$10 * (($A178+2)/100)^2))/($B$9+2*(($A178+2)/100)*SQRT(1+$B$10^2)),0)^(2/3))*SQRT($B$16),0))</f>
        <v/>
      </c>
      <c r="E178" s="30" t="str">
        <f>IF(($A178+3)&gt;$B$11, "", IF(IF(($B$9+2*(($A178+3)/100)*SQRT(1+$B$10^2))&gt;0,(($B$9 * (($A178+3)/100))+($B$10 * (($A178+3)/100)^2))/($B$9+2*(($A178+3)/100)*SQRT(1+$B$10^2)),0)&gt;0,(1/$B$17)*(IF(($B$9+2*(($A178+3)/100)*SQRT(1+$B$10^2))&gt;0,(($B$9 * (($A178+3)/100))+($B$10 * (($A178+3)/100)^2))/($B$9+2*(($A178+3)/100)*SQRT(1+$B$10^2)),0)^(2/3))*SQRT($B$16),0))</f>
        <v/>
      </c>
      <c r="F178" s="30" t="str">
        <f>IF(($A178+4)&gt;$B$11, "", IF(IF(($B$9+2*(($A178+4)/100)*SQRT(1+$B$10^2))&gt;0,(($B$9 * (($A178+4)/100))+($B$10 * (($A178+4)/100)^2))/($B$9+2*(($A178+4)/100)*SQRT(1+$B$10^2)),0)&gt;0,(1/$B$17)*(IF(($B$9+2*(($A178+4)/100)*SQRT(1+$B$10^2))&gt;0,(($B$9 * (($A178+4)/100))+($B$10 * (($A178+4)/100)^2))/($B$9+2*(($A178+4)/100)*SQRT(1+$B$10^2)),0)^(2/3))*SQRT($B$16),0))</f>
        <v/>
      </c>
      <c r="G178" s="30" t="str">
        <f>IF(($A178+5)&gt;$B$11, "", IF(IF(($B$9+2*(($A178+5)/100)*SQRT(1+$B$10^2))&gt;0,(($B$9 * (($A178+5)/100))+($B$10 * (($A178+5)/100)^2))/($B$9+2*(($A178+5)/100)*SQRT(1+$B$10^2)),0)&gt;0,(1/$B$17)*(IF(($B$9+2*(($A178+5)/100)*SQRT(1+$B$10^2))&gt;0,(($B$9 * (($A178+5)/100))+($B$10 * (($A178+5)/100)^2))/($B$9+2*(($A178+5)/100)*SQRT(1+$B$10^2)),0)^(2/3))*SQRT($B$16),0))</f>
        <v/>
      </c>
      <c r="H178" s="30" t="str">
        <f>IF(($A178+6)&gt;$B$11, "", IF(IF(($B$9+2*(($A178+6)/100)*SQRT(1+$B$10^2))&gt;0,(($B$9 * (($A178+6)/100))+($B$10 * (($A178+6)/100)^2))/($B$9+2*(($A178+6)/100)*SQRT(1+$B$10^2)),0)&gt;0,(1/$B$17)*(IF(($B$9+2*(($A178+6)/100)*SQRT(1+$B$10^2))&gt;0,(($B$9 * (($A178+6)/100))+($B$10 * (($A178+6)/100)^2))/($B$9+2*(($A178+6)/100)*SQRT(1+$B$10^2)),0)^(2/3))*SQRT($B$16),0))</f>
        <v/>
      </c>
      <c r="I178" s="30" t="str">
        <f>IF(($A178+7)&gt;$B$11, "", IF(IF(($B$9+2*(($A178+7)/100)*SQRT(1+$B$10^2))&gt;0,(($B$9 * (($A178+7)/100))+($B$10 * (($A178+7)/100)^2))/($B$9+2*(($A178+7)/100)*SQRT(1+$B$10^2)),0)&gt;0,(1/$B$17)*(IF(($B$9+2*(($A178+7)/100)*SQRT(1+$B$10^2))&gt;0,(($B$9 * (($A178+7)/100))+($B$10 * (($A178+7)/100)^2))/($B$9+2*(($A178+7)/100)*SQRT(1+$B$10^2)),0)^(2/3))*SQRT($B$16),0))</f>
        <v/>
      </c>
      <c r="J178" s="30" t="str">
        <f>IF(($A178+8)&gt;$B$11, "", IF(IF(($B$9+2*(($A178+8)/100)*SQRT(1+$B$10^2))&gt;0,(($B$9 * (($A178+8)/100))+($B$10 * (($A178+8)/100)^2))/($B$9+2*(($A178+8)/100)*SQRT(1+$B$10^2)),0)&gt;0,(1/$B$17)*(IF(($B$9+2*(($A178+8)/100)*SQRT(1+$B$10^2))&gt;0,(($B$9 * (($A178+8)/100))+($B$10 * (($A178+8)/100)^2))/($B$9+2*(($A178+8)/100)*SQRT(1+$B$10^2)),0)^(2/3))*SQRT($B$16),0))</f>
        <v/>
      </c>
      <c r="K178" s="30" t="str">
        <f>IF(($A178+9)&gt;$B$11, "", IF(IF(($B$9+2*(($A178+9)/100)*SQRT(1+$B$10^2))&gt;0,(($B$9 * (($A178+9)/100))+($B$10 * (($A178+9)/100)^2))/($B$9+2*(($A178+9)/100)*SQRT(1+$B$10^2)),0)&gt;0,(1/$B$17)*(IF(($B$9+2*(($A178+9)/100)*SQRT(1+$B$10^2))&gt;0,(($B$9 * (($A178+9)/100))+($B$10 * (($A178+9)/100)^2))/($B$9+2*(($A178+9)/100)*SQRT(1+$B$10^2)),0)^(2/3))*SQRT($B$16),0))</f>
        <v/>
      </c>
    </row>
    <row r="179">
      <c r="A179" s="11">
        <v>350</v>
      </c>
      <c r="B179" s="30" t="str">
        <f>IF(($A179+0)&gt;$B$11, "", IF(IF(($B$9+2*(($A179+0)/100)*SQRT(1+$B$10^2))&gt;0,(($B$9 * (($A179+0)/100))+($B$10 * (($A179+0)/100)^2))/($B$9+2*(($A179+0)/100)*SQRT(1+$B$10^2)),0)&gt;0,(1/$B$17)*(IF(($B$9+2*(($A179+0)/100)*SQRT(1+$B$10^2))&gt;0,(($B$9 * (($A179+0)/100))+($B$10 * (($A179+0)/100)^2))/($B$9+2*(($A179+0)/100)*SQRT(1+$B$10^2)),0)^(2/3))*SQRT($B$16),0))</f>
        <v/>
      </c>
      <c r="C179" s="30" t="str">
        <f>IF(($A179+1)&gt;$B$11, "", IF(IF(($B$9+2*(($A179+1)/100)*SQRT(1+$B$10^2))&gt;0,(($B$9 * (($A179+1)/100))+($B$10 * (($A179+1)/100)^2))/($B$9+2*(($A179+1)/100)*SQRT(1+$B$10^2)),0)&gt;0,(1/$B$17)*(IF(($B$9+2*(($A179+1)/100)*SQRT(1+$B$10^2))&gt;0,(($B$9 * (($A179+1)/100))+($B$10 * (($A179+1)/100)^2))/($B$9+2*(($A179+1)/100)*SQRT(1+$B$10^2)),0)^(2/3))*SQRT($B$16),0))</f>
        <v/>
      </c>
      <c r="D179" s="30" t="str">
        <f>IF(($A179+2)&gt;$B$11, "", IF(IF(($B$9+2*(($A179+2)/100)*SQRT(1+$B$10^2))&gt;0,(($B$9 * (($A179+2)/100))+($B$10 * (($A179+2)/100)^2))/($B$9+2*(($A179+2)/100)*SQRT(1+$B$10^2)),0)&gt;0,(1/$B$17)*(IF(($B$9+2*(($A179+2)/100)*SQRT(1+$B$10^2))&gt;0,(($B$9 * (($A179+2)/100))+($B$10 * (($A179+2)/100)^2))/($B$9+2*(($A179+2)/100)*SQRT(1+$B$10^2)),0)^(2/3))*SQRT($B$16),0))</f>
        <v/>
      </c>
      <c r="E179" s="30" t="str">
        <f>IF(($A179+3)&gt;$B$11, "", IF(IF(($B$9+2*(($A179+3)/100)*SQRT(1+$B$10^2))&gt;0,(($B$9 * (($A179+3)/100))+($B$10 * (($A179+3)/100)^2))/($B$9+2*(($A179+3)/100)*SQRT(1+$B$10^2)),0)&gt;0,(1/$B$17)*(IF(($B$9+2*(($A179+3)/100)*SQRT(1+$B$10^2))&gt;0,(($B$9 * (($A179+3)/100))+($B$10 * (($A179+3)/100)^2))/($B$9+2*(($A179+3)/100)*SQRT(1+$B$10^2)),0)^(2/3))*SQRT($B$16),0))</f>
        <v/>
      </c>
      <c r="F179" s="30" t="str">
        <f>IF(($A179+4)&gt;$B$11, "", IF(IF(($B$9+2*(($A179+4)/100)*SQRT(1+$B$10^2))&gt;0,(($B$9 * (($A179+4)/100))+($B$10 * (($A179+4)/100)^2))/($B$9+2*(($A179+4)/100)*SQRT(1+$B$10^2)),0)&gt;0,(1/$B$17)*(IF(($B$9+2*(($A179+4)/100)*SQRT(1+$B$10^2))&gt;0,(($B$9 * (($A179+4)/100))+($B$10 * (($A179+4)/100)^2))/($B$9+2*(($A179+4)/100)*SQRT(1+$B$10^2)),0)^(2/3))*SQRT($B$16),0))</f>
        <v/>
      </c>
      <c r="G179" s="30" t="str">
        <f>IF(($A179+5)&gt;$B$11, "", IF(IF(($B$9+2*(($A179+5)/100)*SQRT(1+$B$10^2))&gt;0,(($B$9 * (($A179+5)/100))+($B$10 * (($A179+5)/100)^2))/($B$9+2*(($A179+5)/100)*SQRT(1+$B$10^2)),0)&gt;0,(1/$B$17)*(IF(($B$9+2*(($A179+5)/100)*SQRT(1+$B$10^2))&gt;0,(($B$9 * (($A179+5)/100))+($B$10 * (($A179+5)/100)^2))/($B$9+2*(($A179+5)/100)*SQRT(1+$B$10^2)),0)^(2/3))*SQRT($B$16),0))</f>
        <v/>
      </c>
      <c r="H179" s="30" t="str">
        <f>IF(($A179+6)&gt;$B$11, "", IF(IF(($B$9+2*(($A179+6)/100)*SQRT(1+$B$10^2))&gt;0,(($B$9 * (($A179+6)/100))+($B$10 * (($A179+6)/100)^2))/($B$9+2*(($A179+6)/100)*SQRT(1+$B$10^2)),0)&gt;0,(1/$B$17)*(IF(($B$9+2*(($A179+6)/100)*SQRT(1+$B$10^2))&gt;0,(($B$9 * (($A179+6)/100))+($B$10 * (($A179+6)/100)^2))/($B$9+2*(($A179+6)/100)*SQRT(1+$B$10^2)),0)^(2/3))*SQRT($B$16),0))</f>
        <v/>
      </c>
      <c r="I179" s="30" t="str">
        <f>IF(($A179+7)&gt;$B$11, "", IF(IF(($B$9+2*(($A179+7)/100)*SQRT(1+$B$10^2))&gt;0,(($B$9 * (($A179+7)/100))+($B$10 * (($A179+7)/100)^2))/($B$9+2*(($A179+7)/100)*SQRT(1+$B$10^2)),0)&gt;0,(1/$B$17)*(IF(($B$9+2*(($A179+7)/100)*SQRT(1+$B$10^2))&gt;0,(($B$9 * (($A179+7)/100))+($B$10 * (($A179+7)/100)^2))/($B$9+2*(($A179+7)/100)*SQRT(1+$B$10^2)),0)^(2/3))*SQRT($B$16),0))</f>
        <v/>
      </c>
      <c r="J179" s="30" t="str">
        <f>IF(($A179+8)&gt;$B$11, "", IF(IF(($B$9+2*(($A179+8)/100)*SQRT(1+$B$10^2))&gt;0,(($B$9 * (($A179+8)/100))+($B$10 * (($A179+8)/100)^2))/($B$9+2*(($A179+8)/100)*SQRT(1+$B$10^2)),0)&gt;0,(1/$B$17)*(IF(($B$9+2*(($A179+8)/100)*SQRT(1+$B$10^2))&gt;0,(($B$9 * (($A179+8)/100))+($B$10 * (($A179+8)/100)^2))/($B$9+2*(($A179+8)/100)*SQRT(1+$B$10^2)),0)^(2/3))*SQRT($B$16),0))</f>
        <v/>
      </c>
      <c r="K179" s="30" t="str">
        <f>IF(($A179+9)&gt;$B$11, "", IF(IF(($B$9+2*(($A179+9)/100)*SQRT(1+$B$10^2))&gt;0,(($B$9 * (($A179+9)/100))+($B$10 * (($A179+9)/100)^2))/($B$9+2*(($A179+9)/100)*SQRT(1+$B$10^2)),0)&gt;0,(1/$B$17)*(IF(($B$9+2*(($A179+9)/100)*SQRT(1+$B$10^2))&gt;0,(($B$9 * (($A179+9)/100))+($B$10 * (($A179+9)/100)^2))/($B$9+2*(($A179+9)/100)*SQRT(1+$B$10^2)),0)^(2/3))*SQRT($B$16),0))</f>
        <v/>
      </c>
    </row>
    <row r="180">
      <c r="A180" s="11">
        <v>360</v>
      </c>
      <c r="B180" s="30" t="str">
        <f>IF(($A180+0)&gt;$B$11, "", IF(IF(($B$9+2*(($A180+0)/100)*SQRT(1+$B$10^2))&gt;0,(($B$9 * (($A180+0)/100))+($B$10 * (($A180+0)/100)^2))/($B$9+2*(($A180+0)/100)*SQRT(1+$B$10^2)),0)&gt;0,(1/$B$17)*(IF(($B$9+2*(($A180+0)/100)*SQRT(1+$B$10^2))&gt;0,(($B$9 * (($A180+0)/100))+($B$10 * (($A180+0)/100)^2))/($B$9+2*(($A180+0)/100)*SQRT(1+$B$10^2)),0)^(2/3))*SQRT($B$16),0))</f>
        <v/>
      </c>
      <c r="C180" s="30" t="str">
        <f>IF(($A180+1)&gt;$B$11, "", IF(IF(($B$9+2*(($A180+1)/100)*SQRT(1+$B$10^2))&gt;0,(($B$9 * (($A180+1)/100))+($B$10 * (($A180+1)/100)^2))/($B$9+2*(($A180+1)/100)*SQRT(1+$B$10^2)),0)&gt;0,(1/$B$17)*(IF(($B$9+2*(($A180+1)/100)*SQRT(1+$B$10^2))&gt;0,(($B$9 * (($A180+1)/100))+($B$10 * (($A180+1)/100)^2))/($B$9+2*(($A180+1)/100)*SQRT(1+$B$10^2)),0)^(2/3))*SQRT($B$16),0))</f>
        <v/>
      </c>
      <c r="D180" s="30" t="str">
        <f>IF(($A180+2)&gt;$B$11, "", IF(IF(($B$9+2*(($A180+2)/100)*SQRT(1+$B$10^2))&gt;0,(($B$9 * (($A180+2)/100))+($B$10 * (($A180+2)/100)^2))/($B$9+2*(($A180+2)/100)*SQRT(1+$B$10^2)),0)&gt;0,(1/$B$17)*(IF(($B$9+2*(($A180+2)/100)*SQRT(1+$B$10^2))&gt;0,(($B$9 * (($A180+2)/100))+($B$10 * (($A180+2)/100)^2))/($B$9+2*(($A180+2)/100)*SQRT(1+$B$10^2)),0)^(2/3))*SQRT($B$16),0))</f>
        <v/>
      </c>
      <c r="E180" s="30" t="str">
        <f>IF(($A180+3)&gt;$B$11, "", IF(IF(($B$9+2*(($A180+3)/100)*SQRT(1+$B$10^2))&gt;0,(($B$9 * (($A180+3)/100))+($B$10 * (($A180+3)/100)^2))/($B$9+2*(($A180+3)/100)*SQRT(1+$B$10^2)),0)&gt;0,(1/$B$17)*(IF(($B$9+2*(($A180+3)/100)*SQRT(1+$B$10^2))&gt;0,(($B$9 * (($A180+3)/100))+($B$10 * (($A180+3)/100)^2))/($B$9+2*(($A180+3)/100)*SQRT(1+$B$10^2)),0)^(2/3))*SQRT($B$16),0))</f>
        <v/>
      </c>
      <c r="F180" s="30" t="str">
        <f>IF(($A180+4)&gt;$B$11, "", IF(IF(($B$9+2*(($A180+4)/100)*SQRT(1+$B$10^2))&gt;0,(($B$9 * (($A180+4)/100))+($B$10 * (($A180+4)/100)^2))/($B$9+2*(($A180+4)/100)*SQRT(1+$B$10^2)),0)&gt;0,(1/$B$17)*(IF(($B$9+2*(($A180+4)/100)*SQRT(1+$B$10^2))&gt;0,(($B$9 * (($A180+4)/100))+($B$10 * (($A180+4)/100)^2))/($B$9+2*(($A180+4)/100)*SQRT(1+$B$10^2)),0)^(2/3))*SQRT($B$16),0))</f>
        <v/>
      </c>
      <c r="G180" s="30" t="str">
        <f>IF(($A180+5)&gt;$B$11, "", IF(IF(($B$9+2*(($A180+5)/100)*SQRT(1+$B$10^2))&gt;0,(($B$9 * (($A180+5)/100))+($B$10 * (($A180+5)/100)^2))/($B$9+2*(($A180+5)/100)*SQRT(1+$B$10^2)),0)&gt;0,(1/$B$17)*(IF(($B$9+2*(($A180+5)/100)*SQRT(1+$B$10^2))&gt;0,(($B$9 * (($A180+5)/100))+($B$10 * (($A180+5)/100)^2))/($B$9+2*(($A180+5)/100)*SQRT(1+$B$10^2)),0)^(2/3))*SQRT($B$16),0))</f>
        <v/>
      </c>
      <c r="H180" s="30" t="str">
        <f>IF(($A180+6)&gt;$B$11, "", IF(IF(($B$9+2*(($A180+6)/100)*SQRT(1+$B$10^2))&gt;0,(($B$9 * (($A180+6)/100))+($B$10 * (($A180+6)/100)^2))/($B$9+2*(($A180+6)/100)*SQRT(1+$B$10^2)),0)&gt;0,(1/$B$17)*(IF(($B$9+2*(($A180+6)/100)*SQRT(1+$B$10^2))&gt;0,(($B$9 * (($A180+6)/100))+($B$10 * (($A180+6)/100)^2))/($B$9+2*(($A180+6)/100)*SQRT(1+$B$10^2)),0)^(2/3))*SQRT($B$16),0))</f>
        <v/>
      </c>
      <c r="I180" s="30" t="str">
        <f>IF(($A180+7)&gt;$B$11, "", IF(IF(($B$9+2*(($A180+7)/100)*SQRT(1+$B$10^2))&gt;0,(($B$9 * (($A180+7)/100))+($B$10 * (($A180+7)/100)^2))/($B$9+2*(($A180+7)/100)*SQRT(1+$B$10^2)),0)&gt;0,(1/$B$17)*(IF(($B$9+2*(($A180+7)/100)*SQRT(1+$B$10^2))&gt;0,(($B$9 * (($A180+7)/100))+($B$10 * (($A180+7)/100)^2))/($B$9+2*(($A180+7)/100)*SQRT(1+$B$10^2)),0)^(2/3))*SQRT($B$16),0))</f>
        <v/>
      </c>
      <c r="J180" s="30" t="str">
        <f>IF(($A180+8)&gt;$B$11, "", IF(IF(($B$9+2*(($A180+8)/100)*SQRT(1+$B$10^2))&gt;0,(($B$9 * (($A180+8)/100))+($B$10 * (($A180+8)/100)^2))/($B$9+2*(($A180+8)/100)*SQRT(1+$B$10^2)),0)&gt;0,(1/$B$17)*(IF(($B$9+2*(($A180+8)/100)*SQRT(1+$B$10^2))&gt;0,(($B$9 * (($A180+8)/100))+($B$10 * (($A180+8)/100)^2))/($B$9+2*(($A180+8)/100)*SQRT(1+$B$10^2)),0)^(2/3))*SQRT($B$16),0))</f>
        <v/>
      </c>
      <c r="K180" s="30" t="str">
        <f>IF(($A180+9)&gt;$B$11, "", IF(IF(($B$9+2*(($A180+9)/100)*SQRT(1+$B$10^2))&gt;0,(($B$9 * (($A180+9)/100))+($B$10 * (($A180+9)/100)^2))/($B$9+2*(($A180+9)/100)*SQRT(1+$B$10^2)),0)&gt;0,(1/$B$17)*(IF(($B$9+2*(($A180+9)/100)*SQRT(1+$B$10^2))&gt;0,(($B$9 * (($A180+9)/100))+($B$10 * (($A180+9)/100)^2))/($B$9+2*(($A180+9)/100)*SQRT(1+$B$10^2)),0)^(2/3))*SQRT($B$16),0))</f>
        <v/>
      </c>
    </row>
    <row r="181">
      <c r="A181" s="11">
        <v>370</v>
      </c>
      <c r="B181" s="30" t="str">
        <f>IF(($A181+0)&gt;$B$11, "", IF(IF(($B$9+2*(($A181+0)/100)*SQRT(1+$B$10^2))&gt;0,(($B$9 * (($A181+0)/100))+($B$10 * (($A181+0)/100)^2))/($B$9+2*(($A181+0)/100)*SQRT(1+$B$10^2)),0)&gt;0,(1/$B$17)*(IF(($B$9+2*(($A181+0)/100)*SQRT(1+$B$10^2))&gt;0,(($B$9 * (($A181+0)/100))+($B$10 * (($A181+0)/100)^2))/($B$9+2*(($A181+0)/100)*SQRT(1+$B$10^2)),0)^(2/3))*SQRT($B$16),0))</f>
        <v/>
      </c>
      <c r="C181" s="30" t="str">
        <f>IF(($A181+1)&gt;$B$11, "", IF(IF(($B$9+2*(($A181+1)/100)*SQRT(1+$B$10^2))&gt;0,(($B$9 * (($A181+1)/100))+($B$10 * (($A181+1)/100)^2))/($B$9+2*(($A181+1)/100)*SQRT(1+$B$10^2)),0)&gt;0,(1/$B$17)*(IF(($B$9+2*(($A181+1)/100)*SQRT(1+$B$10^2))&gt;0,(($B$9 * (($A181+1)/100))+($B$10 * (($A181+1)/100)^2))/($B$9+2*(($A181+1)/100)*SQRT(1+$B$10^2)),0)^(2/3))*SQRT($B$16),0))</f>
        <v/>
      </c>
      <c r="D181" s="30" t="str">
        <f>IF(($A181+2)&gt;$B$11, "", IF(IF(($B$9+2*(($A181+2)/100)*SQRT(1+$B$10^2))&gt;0,(($B$9 * (($A181+2)/100))+($B$10 * (($A181+2)/100)^2))/($B$9+2*(($A181+2)/100)*SQRT(1+$B$10^2)),0)&gt;0,(1/$B$17)*(IF(($B$9+2*(($A181+2)/100)*SQRT(1+$B$10^2))&gt;0,(($B$9 * (($A181+2)/100))+($B$10 * (($A181+2)/100)^2))/($B$9+2*(($A181+2)/100)*SQRT(1+$B$10^2)),0)^(2/3))*SQRT($B$16),0))</f>
        <v/>
      </c>
      <c r="E181" s="30" t="str">
        <f>IF(($A181+3)&gt;$B$11, "", IF(IF(($B$9+2*(($A181+3)/100)*SQRT(1+$B$10^2))&gt;0,(($B$9 * (($A181+3)/100))+($B$10 * (($A181+3)/100)^2))/($B$9+2*(($A181+3)/100)*SQRT(1+$B$10^2)),0)&gt;0,(1/$B$17)*(IF(($B$9+2*(($A181+3)/100)*SQRT(1+$B$10^2))&gt;0,(($B$9 * (($A181+3)/100))+($B$10 * (($A181+3)/100)^2))/($B$9+2*(($A181+3)/100)*SQRT(1+$B$10^2)),0)^(2/3))*SQRT($B$16),0))</f>
        <v/>
      </c>
      <c r="F181" s="30" t="str">
        <f>IF(($A181+4)&gt;$B$11, "", IF(IF(($B$9+2*(($A181+4)/100)*SQRT(1+$B$10^2))&gt;0,(($B$9 * (($A181+4)/100))+($B$10 * (($A181+4)/100)^2))/($B$9+2*(($A181+4)/100)*SQRT(1+$B$10^2)),0)&gt;0,(1/$B$17)*(IF(($B$9+2*(($A181+4)/100)*SQRT(1+$B$10^2))&gt;0,(($B$9 * (($A181+4)/100))+($B$10 * (($A181+4)/100)^2))/($B$9+2*(($A181+4)/100)*SQRT(1+$B$10^2)),0)^(2/3))*SQRT($B$16),0))</f>
        <v/>
      </c>
      <c r="G181" s="30" t="str">
        <f>IF(($A181+5)&gt;$B$11, "", IF(IF(($B$9+2*(($A181+5)/100)*SQRT(1+$B$10^2))&gt;0,(($B$9 * (($A181+5)/100))+($B$10 * (($A181+5)/100)^2))/($B$9+2*(($A181+5)/100)*SQRT(1+$B$10^2)),0)&gt;0,(1/$B$17)*(IF(($B$9+2*(($A181+5)/100)*SQRT(1+$B$10^2))&gt;0,(($B$9 * (($A181+5)/100))+($B$10 * (($A181+5)/100)^2))/($B$9+2*(($A181+5)/100)*SQRT(1+$B$10^2)),0)^(2/3))*SQRT($B$16),0))</f>
        <v/>
      </c>
      <c r="H181" s="30" t="str">
        <f>IF(($A181+6)&gt;$B$11, "", IF(IF(($B$9+2*(($A181+6)/100)*SQRT(1+$B$10^2))&gt;0,(($B$9 * (($A181+6)/100))+($B$10 * (($A181+6)/100)^2))/($B$9+2*(($A181+6)/100)*SQRT(1+$B$10^2)),0)&gt;0,(1/$B$17)*(IF(($B$9+2*(($A181+6)/100)*SQRT(1+$B$10^2))&gt;0,(($B$9 * (($A181+6)/100))+($B$10 * (($A181+6)/100)^2))/($B$9+2*(($A181+6)/100)*SQRT(1+$B$10^2)),0)^(2/3))*SQRT($B$16),0))</f>
        <v/>
      </c>
      <c r="I181" s="30" t="str">
        <f>IF(($A181+7)&gt;$B$11, "", IF(IF(($B$9+2*(($A181+7)/100)*SQRT(1+$B$10^2))&gt;0,(($B$9 * (($A181+7)/100))+($B$10 * (($A181+7)/100)^2))/($B$9+2*(($A181+7)/100)*SQRT(1+$B$10^2)),0)&gt;0,(1/$B$17)*(IF(($B$9+2*(($A181+7)/100)*SQRT(1+$B$10^2))&gt;0,(($B$9 * (($A181+7)/100))+($B$10 * (($A181+7)/100)^2))/($B$9+2*(($A181+7)/100)*SQRT(1+$B$10^2)),0)^(2/3))*SQRT($B$16),0))</f>
        <v/>
      </c>
      <c r="J181" s="30" t="str">
        <f>IF(($A181+8)&gt;$B$11, "", IF(IF(($B$9+2*(($A181+8)/100)*SQRT(1+$B$10^2))&gt;0,(($B$9 * (($A181+8)/100))+($B$10 * (($A181+8)/100)^2))/($B$9+2*(($A181+8)/100)*SQRT(1+$B$10^2)),0)&gt;0,(1/$B$17)*(IF(($B$9+2*(($A181+8)/100)*SQRT(1+$B$10^2))&gt;0,(($B$9 * (($A181+8)/100))+($B$10 * (($A181+8)/100)^2))/($B$9+2*(($A181+8)/100)*SQRT(1+$B$10^2)),0)^(2/3))*SQRT($B$16),0))</f>
        <v/>
      </c>
      <c r="K181" s="30" t="str">
        <f>IF(($A181+9)&gt;$B$11, "", IF(IF(($B$9+2*(($A181+9)/100)*SQRT(1+$B$10^2))&gt;0,(($B$9 * (($A181+9)/100))+($B$10 * (($A181+9)/100)^2))/($B$9+2*(($A181+9)/100)*SQRT(1+$B$10^2)),0)&gt;0,(1/$B$17)*(IF(($B$9+2*(($A181+9)/100)*SQRT(1+$B$10^2))&gt;0,(($B$9 * (($A181+9)/100))+($B$10 * (($A181+9)/100)^2))/($B$9+2*(($A181+9)/100)*SQRT(1+$B$10^2)),0)^(2/3))*SQRT($B$16),0))</f>
        <v/>
      </c>
    </row>
    <row r="182">
      <c r="A182" s="11">
        <v>380</v>
      </c>
      <c r="B182" s="30" t="str">
        <f>IF(($A182+0)&gt;$B$11, "", IF(IF(($B$9+2*(($A182+0)/100)*SQRT(1+$B$10^2))&gt;0,(($B$9 * (($A182+0)/100))+($B$10 * (($A182+0)/100)^2))/($B$9+2*(($A182+0)/100)*SQRT(1+$B$10^2)),0)&gt;0,(1/$B$17)*(IF(($B$9+2*(($A182+0)/100)*SQRT(1+$B$10^2))&gt;0,(($B$9 * (($A182+0)/100))+($B$10 * (($A182+0)/100)^2))/($B$9+2*(($A182+0)/100)*SQRT(1+$B$10^2)),0)^(2/3))*SQRT($B$16),0))</f>
        <v/>
      </c>
      <c r="C182" s="30" t="str">
        <f>IF(($A182+1)&gt;$B$11, "", IF(IF(($B$9+2*(($A182+1)/100)*SQRT(1+$B$10^2))&gt;0,(($B$9 * (($A182+1)/100))+($B$10 * (($A182+1)/100)^2))/($B$9+2*(($A182+1)/100)*SQRT(1+$B$10^2)),0)&gt;0,(1/$B$17)*(IF(($B$9+2*(($A182+1)/100)*SQRT(1+$B$10^2))&gt;0,(($B$9 * (($A182+1)/100))+($B$10 * (($A182+1)/100)^2))/($B$9+2*(($A182+1)/100)*SQRT(1+$B$10^2)),0)^(2/3))*SQRT($B$16),0))</f>
        <v/>
      </c>
      <c r="D182" s="30" t="str">
        <f>IF(($A182+2)&gt;$B$11, "", IF(IF(($B$9+2*(($A182+2)/100)*SQRT(1+$B$10^2))&gt;0,(($B$9 * (($A182+2)/100))+($B$10 * (($A182+2)/100)^2))/($B$9+2*(($A182+2)/100)*SQRT(1+$B$10^2)),0)&gt;0,(1/$B$17)*(IF(($B$9+2*(($A182+2)/100)*SQRT(1+$B$10^2))&gt;0,(($B$9 * (($A182+2)/100))+($B$10 * (($A182+2)/100)^2))/($B$9+2*(($A182+2)/100)*SQRT(1+$B$10^2)),0)^(2/3))*SQRT($B$16),0))</f>
        <v/>
      </c>
      <c r="E182" s="30" t="str">
        <f>IF(($A182+3)&gt;$B$11, "", IF(IF(($B$9+2*(($A182+3)/100)*SQRT(1+$B$10^2))&gt;0,(($B$9 * (($A182+3)/100))+($B$10 * (($A182+3)/100)^2))/($B$9+2*(($A182+3)/100)*SQRT(1+$B$10^2)),0)&gt;0,(1/$B$17)*(IF(($B$9+2*(($A182+3)/100)*SQRT(1+$B$10^2))&gt;0,(($B$9 * (($A182+3)/100))+($B$10 * (($A182+3)/100)^2))/($B$9+2*(($A182+3)/100)*SQRT(1+$B$10^2)),0)^(2/3))*SQRT($B$16),0))</f>
        <v/>
      </c>
      <c r="F182" s="30" t="str">
        <f>IF(($A182+4)&gt;$B$11, "", IF(IF(($B$9+2*(($A182+4)/100)*SQRT(1+$B$10^2))&gt;0,(($B$9 * (($A182+4)/100))+($B$10 * (($A182+4)/100)^2))/($B$9+2*(($A182+4)/100)*SQRT(1+$B$10^2)),0)&gt;0,(1/$B$17)*(IF(($B$9+2*(($A182+4)/100)*SQRT(1+$B$10^2))&gt;0,(($B$9 * (($A182+4)/100))+($B$10 * (($A182+4)/100)^2))/($B$9+2*(($A182+4)/100)*SQRT(1+$B$10^2)),0)^(2/3))*SQRT($B$16),0))</f>
        <v/>
      </c>
      <c r="G182" s="30" t="str">
        <f>IF(($A182+5)&gt;$B$11, "", IF(IF(($B$9+2*(($A182+5)/100)*SQRT(1+$B$10^2))&gt;0,(($B$9 * (($A182+5)/100))+($B$10 * (($A182+5)/100)^2))/($B$9+2*(($A182+5)/100)*SQRT(1+$B$10^2)),0)&gt;0,(1/$B$17)*(IF(($B$9+2*(($A182+5)/100)*SQRT(1+$B$10^2))&gt;0,(($B$9 * (($A182+5)/100))+($B$10 * (($A182+5)/100)^2))/($B$9+2*(($A182+5)/100)*SQRT(1+$B$10^2)),0)^(2/3))*SQRT($B$16),0))</f>
        <v/>
      </c>
      <c r="H182" s="30" t="str">
        <f>IF(($A182+6)&gt;$B$11, "", IF(IF(($B$9+2*(($A182+6)/100)*SQRT(1+$B$10^2))&gt;0,(($B$9 * (($A182+6)/100))+($B$10 * (($A182+6)/100)^2))/($B$9+2*(($A182+6)/100)*SQRT(1+$B$10^2)),0)&gt;0,(1/$B$17)*(IF(($B$9+2*(($A182+6)/100)*SQRT(1+$B$10^2))&gt;0,(($B$9 * (($A182+6)/100))+($B$10 * (($A182+6)/100)^2))/($B$9+2*(($A182+6)/100)*SQRT(1+$B$10^2)),0)^(2/3))*SQRT($B$16),0))</f>
        <v/>
      </c>
      <c r="I182" s="30" t="str">
        <f>IF(($A182+7)&gt;$B$11, "", IF(IF(($B$9+2*(($A182+7)/100)*SQRT(1+$B$10^2))&gt;0,(($B$9 * (($A182+7)/100))+($B$10 * (($A182+7)/100)^2))/($B$9+2*(($A182+7)/100)*SQRT(1+$B$10^2)),0)&gt;0,(1/$B$17)*(IF(($B$9+2*(($A182+7)/100)*SQRT(1+$B$10^2))&gt;0,(($B$9 * (($A182+7)/100))+($B$10 * (($A182+7)/100)^2))/($B$9+2*(($A182+7)/100)*SQRT(1+$B$10^2)),0)^(2/3))*SQRT($B$16),0))</f>
        <v/>
      </c>
      <c r="J182" s="30" t="str">
        <f>IF(($A182+8)&gt;$B$11, "", IF(IF(($B$9+2*(($A182+8)/100)*SQRT(1+$B$10^2))&gt;0,(($B$9 * (($A182+8)/100))+($B$10 * (($A182+8)/100)^2))/($B$9+2*(($A182+8)/100)*SQRT(1+$B$10^2)),0)&gt;0,(1/$B$17)*(IF(($B$9+2*(($A182+8)/100)*SQRT(1+$B$10^2))&gt;0,(($B$9 * (($A182+8)/100))+($B$10 * (($A182+8)/100)^2))/($B$9+2*(($A182+8)/100)*SQRT(1+$B$10^2)),0)^(2/3))*SQRT($B$16),0))</f>
        <v/>
      </c>
      <c r="K182" s="30" t="str">
        <f>IF(($A182+9)&gt;$B$11, "", IF(IF(($B$9+2*(($A182+9)/100)*SQRT(1+$B$10^2))&gt;0,(($B$9 * (($A182+9)/100))+($B$10 * (($A182+9)/100)^2))/($B$9+2*(($A182+9)/100)*SQRT(1+$B$10^2)),0)&gt;0,(1/$B$17)*(IF(($B$9+2*(($A182+9)/100)*SQRT(1+$B$10^2))&gt;0,(($B$9 * (($A182+9)/100))+($B$10 * (($A182+9)/100)^2))/($B$9+2*(($A182+9)/100)*SQRT(1+$B$10^2)),0)^(2/3))*SQRT($B$16),0))</f>
        <v/>
      </c>
    </row>
    <row r="183">
      <c r="A183" s="11">
        <v>390</v>
      </c>
      <c r="B183" s="30" t="str">
        <f>IF(($A183+0)&gt;$B$11, "", IF(IF(($B$9+2*(($A183+0)/100)*SQRT(1+$B$10^2))&gt;0,(($B$9 * (($A183+0)/100))+($B$10 * (($A183+0)/100)^2))/($B$9+2*(($A183+0)/100)*SQRT(1+$B$10^2)),0)&gt;0,(1/$B$17)*(IF(($B$9+2*(($A183+0)/100)*SQRT(1+$B$10^2))&gt;0,(($B$9 * (($A183+0)/100))+($B$10 * (($A183+0)/100)^2))/($B$9+2*(($A183+0)/100)*SQRT(1+$B$10^2)),0)^(2/3))*SQRT($B$16),0))</f>
        <v/>
      </c>
      <c r="C183" s="30" t="str">
        <f>IF(($A183+1)&gt;$B$11, "", IF(IF(($B$9+2*(($A183+1)/100)*SQRT(1+$B$10^2))&gt;0,(($B$9 * (($A183+1)/100))+($B$10 * (($A183+1)/100)^2))/($B$9+2*(($A183+1)/100)*SQRT(1+$B$10^2)),0)&gt;0,(1/$B$17)*(IF(($B$9+2*(($A183+1)/100)*SQRT(1+$B$10^2))&gt;0,(($B$9 * (($A183+1)/100))+($B$10 * (($A183+1)/100)^2))/($B$9+2*(($A183+1)/100)*SQRT(1+$B$10^2)),0)^(2/3))*SQRT($B$16),0))</f>
        <v/>
      </c>
      <c r="D183" s="30" t="str">
        <f>IF(($A183+2)&gt;$B$11, "", IF(IF(($B$9+2*(($A183+2)/100)*SQRT(1+$B$10^2))&gt;0,(($B$9 * (($A183+2)/100))+($B$10 * (($A183+2)/100)^2))/($B$9+2*(($A183+2)/100)*SQRT(1+$B$10^2)),0)&gt;0,(1/$B$17)*(IF(($B$9+2*(($A183+2)/100)*SQRT(1+$B$10^2))&gt;0,(($B$9 * (($A183+2)/100))+($B$10 * (($A183+2)/100)^2))/($B$9+2*(($A183+2)/100)*SQRT(1+$B$10^2)),0)^(2/3))*SQRT($B$16),0))</f>
        <v/>
      </c>
      <c r="E183" s="30" t="str">
        <f>IF(($A183+3)&gt;$B$11, "", IF(IF(($B$9+2*(($A183+3)/100)*SQRT(1+$B$10^2))&gt;0,(($B$9 * (($A183+3)/100))+($B$10 * (($A183+3)/100)^2))/($B$9+2*(($A183+3)/100)*SQRT(1+$B$10^2)),0)&gt;0,(1/$B$17)*(IF(($B$9+2*(($A183+3)/100)*SQRT(1+$B$10^2))&gt;0,(($B$9 * (($A183+3)/100))+($B$10 * (($A183+3)/100)^2))/($B$9+2*(($A183+3)/100)*SQRT(1+$B$10^2)),0)^(2/3))*SQRT($B$16),0))</f>
        <v/>
      </c>
      <c r="F183" s="30" t="str">
        <f>IF(($A183+4)&gt;$B$11, "", IF(IF(($B$9+2*(($A183+4)/100)*SQRT(1+$B$10^2))&gt;0,(($B$9 * (($A183+4)/100))+($B$10 * (($A183+4)/100)^2))/($B$9+2*(($A183+4)/100)*SQRT(1+$B$10^2)),0)&gt;0,(1/$B$17)*(IF(($B$9+2*(($A183+4)/100)*SQRT(1+$B$10^2))&gt;0,(($B$9 * (($A183+4)/100))+($B$10 * (($A183+4)/100)^2))/($B$9+2*(($A183+4)/100)*SQRT(1+$B$10^2)),0)^(2/3))*SQRT($B$16),0))</f>
        <v/>
      </c>
      <c r="G183" s="30" t="str">
        <f>IF(($A183+5)&gt;$B$11, "", IF(IF(($B$9+2*(($A183+5)/100)*SQRT(1+$B$10^2))&gt;0,(($B$9 * (($A183+5)/100))+($B$10 * (($A183+5)/100)^2))/($B$9+2*(($A183+5)/100)*SQRT(1+$B$10^2)),0)&gt;0,(1/$B$17)*(IF(($B$9+2*(($A183+5)/100)*SQRT(1+$B$10^2))&gt;0,(($B$9 * (($A183+5)/100))+($B$10 * (($A183+5)/100)^2))/($B$9+2*(($A183+5)/100)*SQRT(1+$B$10^2)),0)^(2/3))*SQRT($B$16),0))</f>
        <v/>
      </c>
      <c r="H183" s="30" t="str">
        <f>IF(($A183+6)&gt;$B$11, "", IF(IF(($B$9+2*(($A183+6)/100)*SQRT(1+$B$10^2))&gt;0,(($B$9 * (($A183+6)/100))+($B$10 * (($A183+6)/100)^2))/($B$9+2*(($A183+6)/100)*SQRT(1+$B$10^2)),0)&gt;0,(1/$B$17)*(IF(($B$9+2*(($A183+6)/100)*SQRT(1+$B$10^2))&gt;0,(($B$9 * (($A183+6)/100))+($B$10 * (($A183+6)/100)^2))/($B$9+2*(($A183+6)/100)*SQRT(1+$B$10^2)),0)^(2/3))*SQRT($B$16),0))</f>
        <v/>
      </c>
      <c r="I183" s="30" t="str">
        <f>IF(($A183+7)&gt;$B$11, "", IF(IF(($B$9+2*(($A183+7)/100)*SQRT(1+$B$10^2))&gt;0,(($B$9 * (($A183+7)/100))+($B$10 * (($A183+7)/100)^2))/($B$9+2*(($A183+7)/100)*SQRT(1+$B$10^2)),0)&gt;0,(1/$B$17)*(IF(($B$9+2*(($A183+7)/100)*SQRT(1+$B$10^2))&gt;0,(($B$9 * (($A183+7)/100))+($B$10 * (($A183+7)/100)^2))/($B$9+2*(($A183+7)/100)*SQRT(1+$B$10^2)),0)^(2/3))*SQRT($B$16),0))</f>
        <v/>
      </c>
      <c r="J183" s="30" t="str">
        <f>IF(($A183+8)&gt;$B$11, "", IF(IF(($B$9+2*(($A183+8)/100)*SQRT(1+$B$10^2))&gt;0,(($B$9 * (($A183+8)/100))+($B$10 * (($A183+8)/100)^2))/($B$9+2*(($A183+8)/100)*SQRT(1+$B$10^2)),0)&gt;0,(1/$B$17)*(IF(($B$9+2*(($A183+8)/100)*SQRT(1+$B$10^2))&gt;0,(($B$9 * (($A183+8)/100))+($B$10 * (($A183+8)/100)^2))/($B$9+2*(($A183+8)/100)*SQRT(1+$B$10^2)),0)^(2/3))*SQRT($B$16),0))</f>
        <v/>
      </c>
      <c r="K183" s="30" t="str">
        <f>IF(($A183+9)&gt;$B$11, "", IF(IF(($B$9+2*(($A183+9)/100)*SQRT(1+$B$10^2))&gt;0,(($B$9 * (($A183+9)/100))+($B$10 * (($A183+9)/100)^2))/($B$9+2*(($A183+9)/100)*SQRT(1+$B$10^2)),0)&gt;0,(1/$B$17)*(IF(($B$9+2*(($A183+9)/100)*SQRT(1+$B$10^2))&gt;0,(($B$9 * (($A183+9)/100))+($B$10 * (($A183+9)/100)^2))/($B$9+2*(($A183+9)/100)*SQRT(1+$B$10^2)),0)^(2/3))*SQRT($B$16),0))</f>
        <v/>
      </c>
    </row>
    <row r="184">
      <c r="A184" s="11">
        <v>400</v>
      </c>
      <c r="B184" s="30" t="str">
        <f>IF(($A184+0)&gt;$B$11, "", IF(IF(($B$9+2*(($A184+0)/100)*SQRT(1+$B$10^2))&gt;0,(($B$9 * (($A184+0)/100))+($B$10 * (($A184+0)/100)^2))/($B$9+2*(($A184+0)/100)*SQRT(1+$B$10^2)),0)&gt;0,(1/$B$17)*(IF(($B$9+2*(($A184+0)/100)*SQRT(1+$B$10^2))&gt;0,(($B$9 * (($A184+0)/100))+($B$10 * (($A184+0)/100)^2))/($B$9+2*(($A184+0)/100)*SQRT(1+$B$10^2)),0)^(2/3))*SQRT($B$16),0))</f>
        <v/>
      </c>
      <c r="C184" s="30" t="str">
        <f>IF(($A184+1)&gt;$B$11, "", IF(IF(($B$9+2*(($A184+1)/100)*SQRT(1+$B$10^2))&gt;0,(($B$9 * (($A184+1)/100))+($B$10 * (($A184+1)/100)^2))/($B$9+2*(($A184+1)/100)*SQRT(1+$B$10^2)),0)&gt;0,(1/$B$17)*(IF(($B$9+2*(($A184+1)/100)*SQRT(1+$B$10^2))&gt;0,(($B$9 * (($A184+1)/100))+($B$10 * (($A184+1)/100)^2))/($B$9+2*(($A184+1)/100)*SQRT(1+$B$10^2)),0)^(2/3))*SQRT($B$16),0))</f>
        <v/>
      </c>
      <c r="D184" s="30" t="str">
        <f>IF(($A184+2)&gt;$B$11, "", IF(IF(($B$9+2*(($A184+2)/100)*SQRT(1+$B$10^2))&gt;0,(($B$9 * (($A184+2)/100))+($B$10 * (($A184+2)/100)^2))/($B$9+2*(($A184+2)/100)*SQRT(1+$B$10^2)),0)&gt;0,(1/$B$17)*(IF(($B$9+2*(($A184+2)/100)*SQRT(1+$B$10^2))&gt;0,(($B$9 * (($A184+2)/100))+($B$10 * (($A184+2)/100)^2))/($B$9+2*(($A184+2)/100)*SQRT(1+$B$10^2)),0)^(2/3))*SQRT($B$16),0))</f>
        <v/>
      </c>
      <c r="E184" s="30" t="str">
        <f>IF(($A184+3)&gt;$B$11, "", IF(IF(($B$9+2*(($A184+3)/100)*SQRT(1+$B$10^2))&gt;0,(($B$9 * (($A184+3)/100))+($B$10 * (($A184+3)/100)^2))/($B$9+2*(($A184+3)/100)*SQRT(1+$B$10^2)),0)&gt;0,(1/$B$17)*(IF(($B$9+2*(($A184+3)/100)*SQRT(1+$B$10^2))&gt;0,(($B$9 * (($A184+3)/100))+($B$10 * (($A184+3)/100)^2))/($B$9+2*(($A184+3)/100)*SQRT(1+$B$10^2)),0)^(2/3))*SQRT($B$16),0))</f>
        <v/>
      </c>
      <c r="F184" s="30" t="str">
        <f>IF(($A184+4)&gt;$B$11, "", IF(IF(($B$9+2*(($A184+4)/100)*SQRT(1+$B$10^2))&gt;0,(($B$9 * (($A184+4)/100))+($B$10 * (($A184+4)/100)^2))/($B$9+2*(($A184+4)/100)*SQRT(1+$B$10^2)),0)&gt;0,(1/$B$17)*(IF(($B$9+2*(($A184+4)/100)*SQRT(1+$B$10^2))&gt;0,(($B$9 * (($A184+4)/100))+($B$10 * (($A184+4)/100)^2))/($B$9+2*(($A184+4)/100)*SQRT(1+$B$10^2)),0)^(2/3))*SQRT($B$16),0))</f>
        <v/>
      </c>
      <c r="G184" s="30" t="str">
        <f>IF(($A184+5)&gt;$B$11, "", IF(IF(($B$9+2*(($A184+5)/100)*SQRT(1+$B$10^2))&gt;0,(($B$9 * (($A184+5)/100))+($B$10 * (($A184+5)/100)^2))/($B$9+2*(($A184+5)/100)*SQRT(1+$B$10^2)),0)&gt;0,(1/$B$17)*(IF(($B$9+2*(($A184+5)/100)*SQRT(1+$B$10^2))&gt;0,(($B$9 * (($A184+5)/100))+($B$10 * (($A184+5)/100)^2))/($B$9+2*(($A184+5)/100)*SQRT(1+$B$10^2)),0)^(2/3))*SQRT($B$16),0))</f>
        <v/>
      </c>
      <c r="H184" s="30" t="str">
        <f>IF(($A184+6)&gt;$B$11, "", IF(IF(($B$9+2*(($A184+6)/100)*SQRT(1+$B$10^2))&gt;0,(($B$9 * (($A184+6)/100))+($B$10 * (($A184+6)/100)^2))/($B$9+2*(($A184+6)/100)*SQRT(1+$B$10^2)),0)&gt;0,(1/$B$17)*(IF(($B$9+2*(($A184+6)/100)*SQRT(1+$B$10^2))&gt;0,(($B$9 * (($A184+6)/100))+($B$10 * (($A184+6)/100)^2))/($B$9+2*(($A184+6)/100)*SQRT(1+$B$10^2)),0)^(2/3))*SQRT($B$16),0))</f>
        <v/>
      </c>
      <c r="I184" s="30" t="str">
        <f>IF(($A184+7)&gt;$B$11, "", IF(IF(($B$9+2*(($A184+7)/100)*SQRT(1+$B$10^2))&gt;0,(($B$9 * (($A184+7)/100))+($B$10 * (($A184+7)/100)^2))/($B$9+2*(($A184+7)/100)*SQRT(1+$B$10^2)),0)&gt;0,(1/$B$17)*(IF(($B$9+2*(($A184+7)/100)*SQRT(1+$B$10^2))&gt;0,(($B$9 * (($A184+7)/100))+($B$10 * (($A184+7)/100)^2))/($B$9+2*(($A184+7)/100)*SQRT(1+$B$10^2)),0)^(2/3))*SQRT($B$16),0))</f>
        <v/>
      </c>
      <c r="J184" s="30" t="str">
        <f>IF(($A184+8)&gt;$B$11, "", IF(IF(($B$9+2*(($A184+8)/100)*SQRT(1+$B$10^2))&gt;0,(($B$9 * (($A184+8)/100))+($B$10 * (($A184+8)/100)^2))/($B$9+2*(($A184+8)/100)*SQRT(1+$B$10^2)),0)&gt;0,(1/$B$17)*(IF(($B$9+2*(($A184+8)/100)*SQRT(1+$B$10^2))&gt;0,(($B$9 * (($A184+8)/100))+($B$10 * (($A184+8)/100)^2))/($B$9+2*(($A184+8)/100)*SQRT(1+$B$10^2)),0)^(2/3))*SQRT($B$16),0))</f>
        <v/>
      </c>
      <c r="K184" s="30" t="str">
        <f>IF(($A184+9)&gt;$B$11, "", IF(IF(($B$9+2*(($A184+9)/100)*SQRT(1+$B$10^2))&gt;0,(($B$9 * (($A184+9)/100))+($B$10 * (($A184+9)/100)^2))/($B$9+2*(($A184+9)/100)*SQRT(1+$B$10^2)),0)&gt;0,(1/$B$17)*(IF(($B$9+2*(($A184+9)/100)*SQRT(1+$B$10^2))&gt;0,(($B$9 * (($A184+9)/100))+($B$10 * (($A184+9)/100)^2))/($B$9+2*(($A184+9)/100)*SQRT(1+$B$10^2)),0)^(2/3))*SQRT($B$16),0))</f>
        <v/>
      </c>
    </row>
    <row r="185">
      <c r="A185" s="11">
        <v>410</v>
      </c>
      <c r="B185" s="30" t="str">
        <f>IF(($A185+0)&gt;$B$11, "", IF(IF(($B$9+2*(($A185+0)/100)*SQRT(1+$B$10^2))&gt;0,(($B$9 * (($A185+0)/100))+($B$10 * (($A185+0)/100)^2))/($B$9+2*(($A185+0)/100)*SQRT(1+$B$10^2)),0)&gt;0,(1/$B$17)*(IF(($B$9+2*(($A185+0)/100)*SQRT(1+$B$10^2))&gt;0,(($B$9 * (($A185+0)/100))+($B$10 * (($A185+0)/100)^2))/($B$9+2*(($A185+0)/100)*SQRT(1+$B$10^2)),0)^(2/3))*SQRT($B$16),0))</f>
        <v/>
      </c>
      <c r="C185" s="30" t="str">
        <f>IF(($A185+1)&gt;$B$11, "", IF(IF(($B$9+2*(($A185+1)/100)*SQRT(1+$B$10^2))&gt;0,(($B$9 * (($A185+1)/100))+($B$10 * (($A185+1)/100)^2))/($B$9+2*(($A185+1)/100)*SQRT(1+$B$10^2)),0)&gt;0,(1/$B$17)*(IF(($B$9+2*(($A185+1)/100)*SQRT(1+$B$10^2))&gt;0,(($B$9 * (($A185+1)/100))+($B$10 * (($A185+1)/100)^2))/($B$9+2*(($A185+1)/100)*SQRT(1+$B$10^2)),0)^(2/3))*SQRT($B$16),0))</f>
        <v/>
      </c>
      <c r="D185" s="30" t="str">
        <f>IF(($A185+2)&gt;$B$11, "", IF(IF(($B$9+2*(($A185+2)/100)*SQRT(1+$B$10^2))&gt;0,(($B$9 * (($A185+2)/100))+($B$10 * (($A185+2)/100)^2))/($B$9+2*(($A185+2)/100)*SQRT(1+$B$10^2)),0)&gt;0,(1/$B$17)*(IF(($B$9+2*(($A185+2)/100)*SQRT(1+$B$10^2))&gt;0,(($B$9 * (($A185+2)/100))+($B$10 * (($A185+2)/100)^2))/($B$9+2*(($A185+2)/100)*SQRT(1+$B$10^2)),0)^(2/3))*SQRT($B$16),0))</f>
        <v/>
      </c>
      <c r="E185" s="30" t="str">
        <f>IF(($A185+3)&gt;$B$11, "", IF(IF(($B$9+2*(($A185+3)/100)*SQRT(1+$B$10^2))&gt;0,(($B$9 * (($A185+3)/100))+($B$10 * (($A185+3)/100)^2))/($B$9+2*(($A185+3)/100)*SQRT(1+$B$10^2)),0)&gt;0,(1/$B$17)*(IF(($B$9+2*(($A185+3)/100)*SQRT(1+$B$10^2))&gt;0,(($B$9 * (($A185+3)/100))+($B$10 * (($A185+3)/100)^2))/($B$9+2*(($A185+3)/100)*SQRT(1+$B$10^2)),0)^(2/3))*SQRT($B$16),0))</f>
        <v/>
      </c>
      <c r="F185" s="30" t="str">
        <f>IF(($A185+4)&gt;$B$11, "", IF(IF(($B$9+2*(($A185+4)/100)*SQRT(1+$B$10^2))&gt;0,(($B$9 * (($A185+4)/100))+($B$10 * (($A185+4)/100)^2))/($B$9+2*(($A185+4)/100)*SQRT(1+$B$10^2)),0)&gt;0,(1/$B$17)*(IF(($B$9+2*(($A185+4)/100)*SQRT(1+$B$10^2))&gt;0,(($B$9 * (($A185+4)/100))+($B$10 * (($A185+4)/100)^2))/($B$9+2*(($A185+4)/100)*SQRT(1+$B$10^2)),0)^(2/3))*SQRT($B$16),0))</f>
        <v/>
      </c>
      <c r="G185" s="30" t="str">
        <f>IF(($A185+5)&gt;$B$11, "", IF(IF(($B$9+2*(($A185+5)/100)*SQRT(1+$B$10^2))&gt;0,(($B$9 * (($A185+5)/100))+($B$10 * (($A185+5)/100)^2))/($B$9+2*(($A185+5)/100)*SQRT(1+$B$10^2)),0)&gt;0,(1/$B$17)*(IF(($B$9+2*(($A185+5)/100)*SQRT(1+$B$10^2))&gt;0,(($B$9 * (($A185+5)/100))+($B$10 * (($A185+5)/100)^2))/($B$9+2*(($A185+5)/100)*SQRT(1+$B$10^2)),0)^(2/3))*SQRT($B$16),0))</f>
        <v/>
      </c>
      <c r="H185" s="30" t="str">
        <f>IF(($A185+6)&gt;$B$11, "", IF(IF(($B$9+2*(($A185+6)/100)*SQRT(1+$B$10^2))&gt;0,(($B$9 * (($A185+6)/100))+($B$10 * (($A185+6)/100)^2))/($B$9+2*(($A185+6)/100)*SQRT(1+$B$10^2)),0)&gt;0,(1/$B$17)*(IF(($B$9+2*(($A185+6)/100)*SQRT(1+$B$10^2))&gt;0,(($B$9 * (($A185+6)/100))+($B$10 * (($A185+6)/100)^2))/($B$9+2*(($A185+6)/100)*SQRT(1+$B$10^2)),0)^(2/3))*SQRT($B$16),0))</f>
        <v/>
      </c>
      <c r="I185" s="30" t="str">
        <f>IF(($A185+7)&gt;$B$11, "", IF(IF(($B$9+2*(($A185+7)/100)*SQRT(1+$B$10^2))&gt;0,(($B$9 * (($A185+7)/100))+($B$10 * (($A185+7)/100)^2))/($B$9+2*(($A185+7)/100)*SQRT(1+$B$10^2)),0)&gt;0,(1/$B$17)*(IF(($B$9+2*(($A185+7)/100)*SQRT(1+$B$10^2))&gt;0,(($B$9 * (($A185+7)/100))+($B$10 * (($A185+7)/100)^2))/($B$9+2*(($A185+7)/100)*SQRT(1+$B$10^2)),0)^(2/3))*SQRT($B$16),0))</f>
        <v/>
      </c>
      <c r="J185" s="30" t="str">
        <f>IF(($A185+8)&gt;$B$11, "", IF(IF(($B$9+2*(($A185+8)/100)*SQRT(1+$B$10^2))&gt;0,(($B$9 * (($A185+8)/100))+($B$10 * (($A185+8)/100)^2))/($B$9+2*(($A185+8)/100)*SQRT(1+$B$10^2)),0)&gt;0,(1/$B$17)*(IF(($B$9+2*(($A185+8)/100)*SQRT(1+$B$10^2))&gt;0,(($B$9 * (($A185+8)/100))+($B$10 * (($A185+8)/100)^2))/($B$9+2*(($A185+8)/100)*SQRT(1+$B$10^2)),0)^(2/3))*SQRT($B$16),0))</f>
        <v/>
      </c>
      <c r="K185" s="30" t="str">
        <f>IF(($A185+9)&gt;$B$11, "", IF(IF(($B$9+2*(($A185+9)/100)*SQRT(1+$B$10^2))&gt;0,(($B$9 * (($A185+9)/100))+($B$10 * (($A185+9)/100)^2))/($B$9+2*(($A185+9)/100)*SQRT(1+$B$10^2)),0)&gt;0,(1/$B$17)*(IF(($B$9+2*(($A185+9)/100)*SQRT(1+$B$10^2))&gt;0,(($B$9 * (($A185+9)/100))+($B$10 * (($A185+9)/100)^2))/($B$9+2*(($A185+9)/100)*SQRT(1+$B$10^2)),0)^(2/3))*SQRT($B$16),0))</f>
        <v/>
      </c>
    </row>
    <row r="186">
      <c r="A186" s="11">
        <v>420</v>
      </c>
      <c r="B186" s="30" t="str">
        <f>IF(($A186+0)&gt;$B$11, "", IF(IF(($B$9+2*(($A186+0)/100)*SQRT(1+$B$10^2))&gt;0,(($B$9 * (($A186+0)/100))+($B$10 * (($A186+0)/100)^2))/($B$9+2*(($A186+0)/100)*SQRT(1+$B$10^2)),0)&gt;0,(1/$B$17)*(IF(($B$9+2*(($A186+0)/100)*SQRT(1+$B$10^2))&gt;0,(($B$9 * (($A186+0)/100))+($B$10 * (($A186+0)/100)^2))/($B$9+2*(($A186+0)/100)*SQRT(1+$B$10^2)),0)^(2/3))*SQRT($B$16),0))</f>
        <v/>
      </c>
      <c r="C186" s="30" t="str">
        <f>IF(($A186+1)&gt;$B$11, "", IF(IF(($B$9+2*(($A186+1)/100)*SQRT(1+$B$10^2))&gt;0,(($B$9 * (($A186+1)/100))+($B$10 * (($A186+1)/100)^2))/($B$9+2*(($A186+1)/100)*SQRT(1+$B$10^2)),0)&gt;0,(1/$B$17)*(IF(($B$9+2*(($A186+1)/100)*SQRT(1+$B$10^2))&gt;0,(($B$9 * (($A186+1)/100))+($B$10 * (($A186+1)/100)^2))/($B$9+2*(($A186+1)/100)*SQRT(1+$B$10^2)),0)^(2/3))*SQRT($B$16),0))</f>
        <v/>
      </c>
      <c r="D186" s="30" t="str">
        <f>IF(($A186+2)&gt;$B$11, "", IF(IF(($B$9+2*(($A186+2)/100)*SQRT(1+$B$10^2))&gt;0,(($B$9 * (($A186+2)/100))+($B$10 * (($A186+2)/100)^2))/($B$9+2*(($A186+2)/100)*SQRT(1+$B$10^2)),0)&gt;0,(1/$B$17)*(IF(($B$9+2*(($A186+2)/100)*SQRT(1+$B$10^2))&gt;0,(($B$9 * (($A186+2)/100))+($B$10 * (($A186+2)/100)^2))/($B$9+2*(($A186+2)/100)*SQRT(1+$B$10^2)),0)^(2/3))*SQRT($B$16),0))</f>
        <v/>
      </c>
      <c r="E186" s="30" t="str">
        <f>IF(($A186+3)&gt;$B$11, "", IF(IF(($B$9+2*(($A186+3)/100)*SQRT(1+$B$10^2))&gt;0,(($B$9 * (($A186+3)/100))+($B$10 * (($A186+3)/100)^2))/($B$9+2*(($A186+3)/100)*SQRT(1+$B$10^2)),0)&gt;0,(1/$B$17)*(IF(($B$9+2*(($A186+3)/100)*SQRT(1+$B$10^2))&gt;0,(($B$9 * (($A186+3)/100))+($B$10 * (($A186+3)/100)^2))/($B$9+2*(($A186+3)/100)*SQRT(1+$B$10^2)),0)^(2/3))*SQRT($B$16),0))</f>
        <v/>
      </c>
      <c r="F186" s="30" t="str">
        <f>IF(($A186+4)&gt;$B$11, "", IF(IF(($B$9+2*(($A186+4)/100)*SQRT(1+$B$10^2))&gt;0,(($B$9 * (($A186+4)/100))+($B$10 * (($A186+4)/100)^2))/($B$9+2*(($A186+4)/100)*SQRT(1+$B$10^2)),0)&gt;0,(1/$B$17)*(IF(($B$9+2*(($A186+4)/100)*SQRT(1+$B$10^2))&gt;0,(($B$9 * (($A186+4)/100))+($B$10 * (($A186+4)/100)^2))/($B$9+2*(($A186+4)/100)*SQRT(1+$B$10^2)),0)^(2/3))*SQRT($B$16),0))</f>
        <v/>
      </c>
      <c r="G186" s="30" t="str">
        <f>IF(($A186+5)&gt;$B$11, "", IF(IF(($B$9+2*(($A186+5)/100)*SQRT(1+$B$10^2))&gt;0,(($B$9 * (($A186+5)/100))+($B$10 * (($A186+5)/100)^2))/($B$9+2*(($A186+5)/100)*SQRT(1+$B$10^2)),0)&gt;0,(1/$B$17)*(IF(($B$9+2*(($A186+5)/100)*SQRT(1+$B$10^2))&gt;0,(($B$9 * (($A186+5)/100))+($B$10 * (($A186+5)/100)^2))/($B$9+2*(($A186+5)/100)*SQRT(1+$B$10^2)),0)^(2/3))*SQRT($B$16),0))</f>
        <v/>
      </c>
      <c r="H186" s="30" t="str">
        <f>IF(($A186+6)&gt;$B$11, "", IF(IF(($B$9+2*(($A186+6)/100)*SQRT(1+$B$10^2))&gt;0,(($B$9 * (($A186+6)/100))+($B$10 * (($A186+6)/100)^2))/($B$9+2*(($A186+6)/100)*SQRT(1+$B$10^2)),0)&gt;0,(1/$B$17)*(IF(($B$9+2*(($A186+6)/100)*SQRT(1+$B$10^2))&gt;0,(($B$9 * (($A186+6)/100))+($B$10 * (($A186+6)/100)^2))/($B$9+2*(($A186+6)/100)*SQRT(1+$B$10^2)),0)^(2/3))*SQRT($B$16),0))</f>
        <v/>
      </c>
      <c r="I186" s="30" t="str">
        <f>IF(($A186+7)&gt;$B$11, "", IF(IF(($B$9+2*(($A186+7)/100)*SQRT(1+$B$10^2))&gt;0,(($B$9 * (($A186+7)/100))+($B$10 * (($A186+7)/100)^2))/($B$9+2*(($A186+7)/100)*SQRT(1+$B$10^2)),0)&gt;0,(1/$B$17)*(IF(($B$9+2*(($A186+7)/100)*SQRT(1+$B$10^2))&gt;0,(($B$9 * (($A186+7)/100))+($B$10 * (($A186+7)/100)^2))/($B$9+2*(($A186+7)/100)*SQRT(1+$B$10^2)),0)^(2/3))*SQRT($B$16),0))</f>
        <v/>
      </c>
      <c r="J186" s="30" t="str">
        <f>IF(($A186+8)&gt;$B$11, "", IF(IF(($B$9+2*(($A186+8)/100)*SQRT(1+$B$10^2))&gt;0,(($B$9 * (($A186+8)/100))+($B$10 * (($A186+8)/100)^2))/($B$9+2*(($A186+8)/100)*SQRT(1+$B$10^2)),0)&gt;0,(1/$B$17)*(IF(($B$9+2*(($A186+8)/100)*SQRT(1+$B$10^2))&gt;0,(($B$9 * (($A186+8)/100))+($B$10 * (($A186+8)/100)^2))/($B$9+2*(($A186+8)/100)*SQRT(1+$B$10^2)),0)^(2/3))*SQRT($B$16),0))</f>
        <v/>
      </c>
      <c r="K186" s="30" t="str">
        <f>IF(($A186+9)&gt;$B$11, "", IF(IF(($B$9+2*(($A186+9)/100)*SQRT(1+$B$10^2))&gt;0,(($B$9 * (($A186+9)/100))+($B$10 * (($A186+9)/100)^2))/($B$9+2*(($A186+9)/100)*SQRT(1+$B$10^2)),0)&gt;0,(1/$B$17)*(IF(($B$9+2*(($A186+9)/100)*SQRT(1+$B$10^2))&gt;0,(($B$9 * (($A186+9)/100))+($B$10 * (($A186+9)/100)^2))/($B$9+2*(($A186+9)/100)*SQRT(1+$B$10^2)),0)^(2/3))*SQRT($B$16),0))</f>
        <v/>
      </c>
    </row>
    <row r="187">
      <c r="A187" s="11">
        <v>430</v>
      </c>
      <c r="B187" s="30" t="str">
        <f>IF(($A187+0)&gt;$B$11, "", IF(IF(($B$9+2*(($A187+0)/100)*SQRT(1+$B$10^2))&gt;0,(($B$9 * (($A187+0)/100))+($B$10 * (($A187+0)/100)^2))/($B$9+2*(($A187+0)/100)*SQRT(1+$B$10^2)),0)&gt;0,(1/$B$17)*(IF(($B$9+2*(($A187+0)/100)*SQRT(1+$B$10^2))&gt;0,(($B$9 * (($A187+0)/100))+($B$10 * (($A187+0)/100)^2))/($B$9+2*(($A187+0)/100)*SQRT(1+$B$10^2)),0)^(2/3))*SQRT($B$16),0))</f>
        <v/>
      </c>
      <c r="C187" s="30" t="str">
        <f>IF(($A187+1)&gt;$B$11, "", IF(IF(($B$9+2*(($A187+1)/100)*SQRT(1+$B$10^2))&gt;0,(($B$9 * (($A187+1)/100))+($B$10 * (($A187+1)/100)^2))/($B$9+2*(($A187+1)/100)*SQRT(1+$B$10^2)),0)&gt;0,(1/$B$17)*(IF(($B$9+2*(($A187+1)/100)*SQRT(1+$B$10^2))&gt;0,(($B$9 * (($A187+1)/100))+($B$10 * (($A187+1)/100)^2))/($B$9+2*(($A187+1)/100)*SQRT(1+$B$10^2)),0)^(2/3))*SQRT($B$16),0))</f>
        <v/>
      </c>
      <c r="D187" s="30" t="str">
        <f>IF(($A187+2)&gt;$B$11, "", IF(IF(($B$9+2*(($A187+2)/100)*SQRT(1+$B$10^2))&gt;0,(($B$9 * (($A187+2)/100))+($B$10 * (($A187+2)/100)^2))/($B$9+2*(($A187+2)/100)*SQRT(1+$B$10^2)),0)&gt;0,(1/$B$17)*(IF(($B$9+2*(($A187+2)/100)*SQRT(1+$B$10^2))&gt;0,(($B$9 * (($A187+2)/100))+($B$10 * (($A187+2)/100)^2))/($B$9+2*(($A187+2)/100)*SQRT(1+$B$10^2)),0)^(2/3))*SQRT($B$16),0))</f>
        <v/>
      </c>
      <c r="E187" s="30" t="str">
        <f>IF(($A187+3)&gt;$B$11, "", IF(IF(($B$9+2*(($A187+3)/100)*SQRT(1+$B$10^2))&gt;0,(($B$9 * (($A187+3)/100))+($B$10 * (($A187+3)/100)^2))/($B$9+2*(($A187+3)/100)*SQRT(1+$B$10^2)),0)&gt;0,(1/$B$17)*(IF(($B$9+2*(($A187+3)/100)*SQRT(1+$B$10^2))&gt;0,(($B$9 * (($A187+3)/100))+($B$10 * (($A187+3)/100)^2))/($B$9+2*(($A187+3)/100)*SQRT(1+$B$10^2)),0)^(2/3))*SQRT($B$16),0))</f>
        <v/>
      </c>
      <c r="F187" s="30" t="str">
        <f>IF(($A187+4)&gt;$B$11, "", IF(IF(($B$9+2*(($A187+4)/100)*SQRT(1+$B$10^2))&gt;0,(($B$9 * (($A187+4)/100))+($B$10 * (($A187+4)/100)^2))/($B$9+2*(($A187+4)/100)*SQRT(1+$B$10^2)),0)&gt;0,(1/$B$17)*(IF(($B$9+2*(($A187+4)/100)*SQRT(1+$B$10^2))&gt;0,(($B$9 * (($A187+4)/100))+($B$10 * (($A187+4)/100)^2))/($B$9+2*(($A187+4)/100)*SQRT(1+$B$10^2)),0)^(2/3))*SQRT($B$16),0))</f>
        <v/>
      </c>
      <c r="G187" s="30" t="str">
        <f>IF(($A187+5)&gt;$B$11, "", IF(IF(($B$9+2*(($A187+5)/100)*SQRT(1+$B$10^2))&gt;0,(($B$9 * (($A187+5)/100))+($B$10 * (($A187+5)/100)^2))/($B$9+2*(($A187+5)/100)*SQRT(1+$B$10^2)),0)&gt;0,(1/$B$17)*(IF(($B$9+2*(($A187+5)/100)*SQRT(1+$B$10^2))&gt;0,(($B$9 * (($A187+5)/100))+($B$10 * (($A187+5)/100)^2))/($B$9+2*(($A187+5)/100)*SQRT(1+$B$10^2)),0)^(2/3))*SQRT($B$16),0))</f>
        <v/>
      </c>
      <c r="H187" s="30" t="str">
        <f>IF(($A187+6)&gt;$B$11, "", IF(IF(($B$9+2*(($A187+6)/100)*SQRT(1+$B$10^2))&gt;0,(($B$9 * (($A187+6)/100))+($B$10 * (($A187+6)/100)^2))/($B$9+2*(($A187+6)/100)*SQRT(1+$B$10^2)),0)&gt;0,(1/$B$17)*(IF(($B$9+2*(($A187+6)/100)*SQRT(1+$B$10^2))&gt;0,(($B$9 * (($A187+6)/100))+($B$10 * (($A187+6)/100)^2))/($B$9+2*(($A187+6)/100)*SQRT(1+$B$10^2)),0)^(2/3))*SQRT($B$16),0))</f>
        <v/>
      </c>
      <c r="I187" s="30" t="str">
        <f>IF(($A187+7)&gt;$B$11, "", IF(IF(($B$9+2*(($A187+7)/100)*SQRT(1+$B$10^2))&gt;0,(($B$9 * (($A187+7)/100))+($B$10 * (($A187+7)/100)^2))/($B$9+2*(($A187+7)/100)*SQRT(1+$B$10^2)),0)&gt;0,(1/$B$17)*(IF(($B$9+2*(($A187+7)/100)*SQRT(1+$B$10^2))&gt;0,(($B$9 * (($A187+7)/100))+($B$10 * (($A187+7)/100)^2))/($B$9+2*(($A187+7)/100)*SQRT(1+$B$10^2)),0)^(2/3))*SQRT($B$16),0))</f>
        <v/>
      </c>
      <c r="J187" s="30" t="str">
        <f>IF(($A187+8)&gt;$B$11, "", IF(IF(($B$9+2*(($A187+8)/100)*SQRT(1+$B$10^2))&gt;0,(($B$9 * (($A187+8)/100))+($B$10 * (($A187+8)/100)^2))/($B$9+2*(($A187+8)/100)*SQRT(1+$B$10^2)),0)&gt;0,(1/$B$17)*(IF(($B$9+2*(($A187+8)/100)*SQRT(1+$B$10^2))&gt;0,(($B$9 * (($A187+8)/100))+($B$10 * (($A187+8)/100)^2))/($B$9+2*(($A187+8)/100)*SQRT(1+$B$10^2)),0)^(2/3))*SQRT($B$16),0))</f>
        <v/>
      </c>
      <c r="K187" s="30" t="str">
        <f>IF(($A187+9)&gt;$B$11, "", IF(IF(($B$9+2*(($A187+9)/100)*SQRT(1+$B$10^2))&gt;0,(($B$9 * (($A187+9)/100))+($B$10 * (($A187+9)/100)^2))/($B$9+2*(($A187+9)/100)*SQRT(1+$B$10^2)),0)&gt;0,(1/$B$17)*(IF(($B$9+2*(($A187+9)/100)*SQRT(1+$B$10^2))&gt;0,(($B$9 * (($A187+9)/100))+($B$10 * (($A187+9)/100)^2))/($B$9+2*(($A187+9)/100)*SQRT(1+$B$10^2)),0)^(2/3))*SQRT($B$16),0))</f>
        <v/>
      </c>
    </row>
    <row r="188">
      <c r="A188" s="11">
        <v>440</v>
      </c>
      <c r="B188" s="30" t="str">
        <f>IF(($A188+0)&gt;$B$11, "", IF(IF(($B$9+2*(($A188+0)/100)*SQRT(1+$B$10^2))&gt;0,(($B$9 * (($A188+0)/100))+($B$10 * (($A188+0)/100)^2))/($B$9+2*(($A188+0)/100)*SQRT(1+$B$10^2)),0)&gt;0,(1/$B$17)*(IF(($B$9+2*(($A188+0)/100)*SQRT(1+$B$10^2))&gt;0,(($B$9 * (($A188+0)/100))+($B$10 * (($A188+0)/100)^2))/($B$9+2*(($A188+0)/100)*SQRT(1+$B$10^2)),0)^(2/3))*SQRT($B$16),0))</f>
        <v/>
      </c>
      <c r="C188" s="30" t="str">
        <f>IF(($A188+1)&gt;$B$11, "", IF(IF(($B$9+2*(($A188+1)/100)*SQRT(1+$B$10^2))&gt;0,(($B$9 * (($A188+1)/100))+($B$10 * (($A188+1)/100)^2))/($B$9+2*(($A188+1)/100)*SQRT(1+$B$10^2)),0)&gt;0,(1/$B$17)*(IF(($B$9+2*(($A188+1)/100)*SQRT(1+$B$10^2))&gt;0,(($B$9 * (($A188+1)/100))+($B$10 * (($A188+1)/100)^2))/($B$9+2*(($A188+1)/100)*SQRT(1+$B$10^2)),0)^(2/3))*SQRT($B$16),0))</f>
        <v/>
      </c>
      <c r="D188" s="30" t="str">
        <f>IF(($A188+2)&gt;$B$11, "", IF(IF(($B$9+2*(($A188+2)/100)*SQRT(1+$B$10^2))&gt;0,(($B$9 * (($A188+2)/100))+($B$10 * (($A188+2)/100)^2))/($B$9+2*(($A188+2)/100)*SQRT(1+$B$10^2)),0)&gt;0,(1/$B$17)*(IF(($B$9+2*(($A188+2)/100)*SQRT(1+$B$10^2))&gt;0,(($B$9 * (($A188+2)/100))+($B$10 * (($A188+2)/100)^2))/($B$9+2*(($A188+2)/100)*SQRT(1+$B$10^2)),0)^(2/3))*SQRT($B$16),0))</f>
        <v/>
      </c>
      <c r="E188" s="30" t="str">
        <f>IF(($A188+3)&gt;$B$11, "", IF(IF(($B$9+2*(($A188+3)/100)*SQRT(1+$B$10^2))&gt;0,(($B$9 * (($A188+3)/100))+($B$10 * (($A188+3)/100)^2))/($B$9+2*(($A188+3)/100)*SQRT(1+$B$10^2)),0)&gt;0,(1/$B$17)*(IF(($B$9+2*(($A188+3)/100)*SQRT(1+$B$10^2))&gt;0,(($B$9 * (($A188+3)/100))+($B$10 * (($A188+3)/100)^2))/($B$9+2*(($A188+3)/100)*SQRT(1+$B$10^2)),0)^(2/3))*SQRT($B$16),0))</f>
        <v/>
      </c>
      <c r="F188" s="30" t="str">
        <f>IF(($A188+4)&gt;$B$11, "", IF(IF(($B$9+2*(($A188+4)/100)*SQRT(1+$B$10^2))&gt;0,(($B$9 * (($A188+4)/100))+($B$10 * (($A188+4)/100)^2))/($B$9+2*(($A188+4)/100)*SQRT(1+$B$10^2)),0)&gt;0,(1/$B$17)*(IF(($B$9+2*(($A188+4)/100)*SQRT(1+$B$10^2))&gt;0,(($B$9 * (($A188+4)/100))+($B$10 * (($A188+4)/100)^2))/($B$9+2*(($A188+4)/100)*SQRT(1+$B$10^2)),0)^(2/3))*SQRT($B$16),0))</f>
        <v/>
      </c>
      <c r="G188" s="30" t="str">
        <f>IF(($A188+5)&gt;$B$11, "", IF(IF(($B$9+2*(($A188+5)/100)*SQRT(1+$B$10^2))&gt;0,(($B$9 * (($A188+5)/100))+($B$10 * (($A188+5)/100)^2))/($B$9+2*(($A188+5)/100)*SQRT(1+$B$10^2)),0)&gt;0,(1/$B$17)*(IF(($B$9+2*(($A188+5)/100)*SQRT(1+$B$10^2))&gt;0,(($B$9 * (($A188+5)/100))+($B$10 * (($A188+5)/100)^2))/($B$9+2*(($A188+5)/100)*SQRT(1+$B$10^2)),0)^(2/3))*SQRT($B$16),0))</f>
        <v/>
      </c>
      <c r="H188" s="30" t="str">
        <f>IF(($A188+6)&gt;$B$11, "", IF(IF(($B$9+2*(($A188+6)/100)*SQRT(1+$B$10^2))&gt;0,(($B$9 * (($A188+6)/100))+($B$10 * (($A188+6)/100)^2))/($B$9+2*(($A188+6)/100)*SQRT(1+$B$10^2)),0)&gt;0,(1/$B$17)*(IF(($B$9+2*(($A188+6)/100)*SQRT(1+$B$10^2))&gt;0,(($B$9 * (($A188+6)/100))+($B$10 * (($A188+6)/100)^2))/($B$9+2*(($A188+6)/100)*SQRT(1+$B$10^2)),0)^(2/3))*SQRT($B$16),0))</f>
        <v/>
      </c>
      <c r="I188" s="30" t="str">
        <f>IF(($A188+7)&gt;$B$11, "", IF(IF(($B$9+2*(($A188+7)/100)*SQRT(1+$B$10^2))&gt;0,(($B$9 * (($A188+7)/100))+($B$10 * (($A188+7)/100)^2))/($B$9+2*(($A188+7)/100)*SQRT(1+$B$10^2)),0)&gt;0,(1/$B$17)*(IF(($B$9+2*(($A188+7)/100)*SQRT(1+$B$10^2))&gt;0,(($B$9 * (($A188+7)/100))+($B$10 * (($A188+7)/100)^2))/($B$9+2*(($A188+7)/100)*SQRT(1+$B$10^2)),0)^(2/3))*SQRT($B$16),0))</f>
        <v/>
      </c>
      <c r="J188" s="30" t="str">
        <f>IF(($A188+8)&gt;$B$11, "", IF(IF(($B$9+2*(($A188+8)/100)*SQRT(1+$B$10^2))&gt;0,(($B$9 * (($A188+8)/100))+($B$10 * (($A188+8)/100)^2))/($B$9+2*(($A188+8)/100)*SQRT(1+$B$10^2)),0)&gt;0,(1/$B$17)*(IF(($B$9+2*(($A188+8)/100)*SQRT(1+$B$10^2))&gt;0,(($B$9 * (($A188+8)/100))+($B$10 * (($A188+8)/100)^2))/($B$9+2*(($A188+8)/100)*SQRT(1+$B$10^2)),0)^(2/3))*SQRT($B$16),0))</f>
        <v/>
      </c>
      <c r="K188" s="30" t="str">
        <f>IF(($A188+9)&gt;$B$11, "", IF(IF(($B$9+2*(($A188+9)/100)*SQRT(1+$B$10^2))&gt;0,(($B$9 * (($A188+9)/100))+($B$10 * (($A188+9)/100)^2))/($B$9+2*(($A188+9)/100)*SQRT(1+$B$10^2)),0)&gt;0,(1/$B$17)*(IF(($B$9+2*(($A188+9)/100)*SQRT(1+$B$10^2))&gt;0,(($B$9 * (($A188+9)/100))+($B$10 * (($A188+9)/100)^2))/($B$9+2*(($A188+9)/100)*SQRT(1+$B$10^2)),0)^(2/3))*SQRT($B$16),0))</f>
        <v/>
      </c>
    </row>
    <row r="189">
      <c r="A189" s="11">
        <v>450</v>
      </c>
      <c r="B189" s="30" t="str">
        <f>IF(($A189+0)&gt;$B$11, "", IF(IF(($B$9+2*(($A189+0)/100)*SQRT(1+$B$10^2))&gt;0,(($B$9 * (($A189+0)/100))+($B$10 * (($A189+0)/100)^2))/($B$9+2*(($A189+0)/100)*SQRT(1+$B$10^2)),0)&gt;0,(1/$B$17)*(IF(($B$9+2*(($A189+0)/100)*SQRT(1+$B$10^2))&gt;0,(($B$9 * (($A189+0)/100))+($B$10 * (($A189+0)/100)^2))/($B$9+2*(($A189+0)/100)*SQRT(1+$B$10^2)),0)^(2/3))*SQRT($B$16),0))</f>
        <v/>
      </c>
      <c r="C189" s="30" t="str">
        <f>IF(($A189+1)&gt;$B$11, "", IF(IF(($B$9+2*(($A189+1)/100)*SQRT(1+$B$10^2))&gt;0,(($B$9 * (($A189+1)/100))+($B$10 * (($A189+1)/100)^2))/($B$9+2*(($A189+1)/100)*SQRT(1+$B$10^2)),0)&gt;0,(1/$B$17)*(IF(($B$9+2*(($A189+1)/100)*SQRT(1+$B$10^2))&gt;0,(($B$9 * (($A189+1)/100))+($B$10 * (($A189+1)/100)^2))/($B$9+2*(($A189+1)/100)*SQRT(1+$B$10^2)),0)^(2/3))*SQRT($B$16),0))</f>
        <v/>
      </c>
      <c r="D189" s="30" t="str">
        <f>IF(($A189+2)&gt;$B$11, "", IF(IF(($B$9+2*(($A189+2)/100)*SQRT(1+$B$10^2))&gt;0,(($B$9 * (($A189+2)/100))+($B$10 * (($A189+2)/100)^2))/($B$9+2*(($A189+2)/100)*SQRT(1+$B$10^2)),0)&gt;0,(1/$B$17)*(IF(($B$9+2*(($A189+2)/100)*SQRT(1+$B$10^2))&gt;0,(($B$9 * (($A189+2)/100))+($B$10 * (($A189+2)/100)^2))/($B$9+2*(($A189+2)/100)*SQRT(1+$B$10^2)),0)^(2/3))*SQRT($B$16),0))</f>
        <v/>
      </c>
      <c r="E189" s="30" t="str">
        <f>IF(($A189+3)&gt;$B$11, "", IF(IF(($B$9+2*(($A189+3)/100)*SQRT(1+$B$10^2))&gt;0,(($B$9 * (($A189+3)/100))+($B$10 * (($A189+3)/100)^2))/($B$9+2*(($A189+3)/100)*SQRT(1+$B$10^2)),0)&gt;0,(1/$B$17)*(IF(($B$9+2*(($A189+3)/100)*SQRT(1+$B$10^2))&gt;0,(($B$9 * (($A189+3)/100))+($B$10 * (($A189+3)/100)^2))/($B$9+2*(($A189+3)/100)*SQRT(1+$B$10^2)),0)^(2/3))*SQRT($B$16),0))</f>
        <v/>
      </c>
      <c r="F189" s="30" t="str">
        <f>IF(($A189+4)&gt;$B$11, "", IF(IF(($B$9+2*(($A189+4)/100)*SQRT(1+$B$10^2))&gt;0,(($B$9 * (($A189+4)/100))+($B$10 * (($A189+4)/100)^2))/($B$9+2*(($A189+4)/100)*SQRT(1+$B$10^2)),0)&gt;0,(1/$B$17)*(IF(($B$9+2*(($A189+4)/100)*SQRT(1+$B$10^2))&gt;0,(($B$9 * (($A189+4)/100))+($B$10 * (($A189+4)/100)^2))/($B$9+2*(($A189+4)/100)*SQRT(1+$B$10^2)),0)^(2/3))*SQRT($B$16),0))</f>
        <v/>
      </c>
      <c r="G189" s="30" t="str">
        <f>IF(($A189+5)&gt;$B$11, "", IF(IF(($B$9+2*(($A189+5)/100)*SQRT(1+$B$10^2))&gt;0,(($B$9 * (($A189+5)/100))+($B$10 * (($A189+5)/100)^2))/($B$9+2*(($A189+5)/100)*SQRT(1+$B$10^2)),0)&gt;0,(1/$B$17)*(IF(($B$9+2*(($A189+5)/100)*SQRT(1+$B$10^2))&gt;0,(($B$9 * (($A189+5)/100))+($B$10 * (($A189+5)/100)^2))/($B$9+2*(($A189+5)/100)*SQRT(1+$B$10^2)),0)^(2/3))*SQRT($B$16),0))</f>
        <v/>
      </c>
      <c r="H189" s="30" t="str">
        <f>IF(($A189+6)&gt;$B$11, "", IF(IF(($B$9+2*(($A189+6)/100)*SQRT(1+$B$10^2))&gt;0,(($B$9 * (($A189+6)/100))+($B$10 * (($A189+6)/100)^2))/($B$9+2*(($A189+6)/100)*SQRT(1+$B$10^2)),0)&gt;0,(1/$B$17)*(IF(($B$9+2*(($A189+6)/100)*SQRT(1+$B$10^2))&gt;0,(($B$9 * (($A189+6)/100))+($B$10 * (($A189+6)/100)^2))/($B$9+2*(($A189+6)/100)*SQRT(1+$B$10^2)),0)^(2/3))*SQRT($B$16),0))</f>
        <v/>
      </c>
      <c r="I189" s="30" t="str">
        <f>IF(($A189+7)&gt;$B$11, "", IF(IF(($B$9+2*(($A189+7)/100)*SQRT(1+$B$10^2))&gt;0,(($B$9 * (($A189+7)/100))+($B$10 * (($A189+7)/100)^2))/($B$9+2*(($A189+7)/100)*SQRT(1+$B$10^2)),0)&gt;0,(1/$B$17)*(IF(($B$9+2*(($A189+7)/100)*SQRT(1+$B$10^2))&gt;0,(($B$9 * (($A189+7)/100))+($B$10 * (($A189+7)/100)^2))/($B$9+2*(($A189+7)/100)*SQRT(1+$B$10^2)),0)^(2/3))*SQRT($B$16),0))</f>
        <v/>
      </c>
      <c r="J189" s="30" t="str">
        <f>IF(($A189+8)&gt;$B$11, "", IF(IF(($B$9+2*(($A189+8)/100)*SQRT(1+$B$10^2))&gt;0,(($B$9 * (($A189+8)/100))+($B$10 * (($A189+8)/100)^2))/($B$9+2*(($A189+8)/100)*SQRT(1+$B$10^2)),0)&gt;0,(1/$B$17)*(IF(($B$9+2*(($A189+8)/100)*SQRT(1+$B$10^2))&gt;0,(($B$9 * (($A189+8)/100))+($B$10 * (($A189+8)/100)^2))/($B$9+2*(($A189+8)/100)*SQRT(1+$B$10^2)),0)^(2/3))*SQRT($B$16),0))</f>
        <v/>
      </c>
      <c r="K189" s="30" t="str">
        <f>IF(($A189+9)&gt;$B$11, "", IF(IF(($B$9+2*(($A189+9)/100)*SQRT(1+$B$10^2))&gt;0,(($B$9 * (($A189+9)/100))+($B$10 * (($A189+9)/100)^2))/($B$9+2*(($A189+9)/100)*SQRT(1+$B$10^2)),0)&gt;0,(1/$B$17)*(IF(($B$9+2*(($A189+9)/100)*SQRT(1+$B$10^2))&gt;0,(($B$9 * (($A189+9)/100))+($B$10 * (($A189+9)/100)^2))/($B$9+2*(($A189+9)/100)*SQRT(1+$B$10^2)),0)^(2/3))*SQRT($B$16),0))</f>
        <v/>
      </c>
    </row>
    <row r="190">
      <c r="A190" s="11">
        <v>460</v>
      </c>
      <c r="B190" s="30" t="str">
        <f>IF(($A190+0)&gt;$B$11, "", IF(IF(($B$9+2*(($A190+0)/100)*SQRT(1+$B$10^2))&gt;0,(($B$9 * (($A190+0)/100))+($B$10 * (($A190+0)/100)^2))/($B$9+2*(($A190+0)/100)*SQRT(1+$B$10^2)),0)&gt;0,(1/$B$17)*(IF(($B$9+2*(($A190+0)/100)*SQRT(1+$B$10^2))&gt;0,(($B$9 * (($A190+0)/100))+($B$10 * (($A190+0)/100)^2))/($B$9+2*(($A190+0)/100)*SQRT(1+$B$10^2)),0)^(2/3))*SQRT($B$16),0))</f>
        <v/>
      </c>
      <c r="C190" s="30" t="str">
        <f>IF(($A190+1)&gt;$B$11, "", IF(IF(($B$9+2*(($A190+1)/100)*SQRT(1+$B$10^2))&gt;0,(($B$9 * (($A190+1)/100))+($B$10 * (($A190+1)/100)^2))/($B$9+2*(($A190+1)/100)*SQRT(1+$B$10^2)),0)&gt;0,(1/$B$17)*(IF(($B$9+2*(($A190+1)/100)*SQRT(1+$B$10^2))&gt;0,(($B$9 * (($A190+1)/100))+($B$10 * (($A190+1)/100)^2))/($B$9+2*(($A190+1)/100)*SQRT(1+$B$10^2)),0)^(2/3))*SQRT($B$16),0))</f>
        <v/>
      </c>
      <c r="D190" s="30" t="str">
        <f>IF(($A190+2)&gt;$B$11, "", IF(IF(($B$9+2*(($A190+2)/100)*SQRT(1+$B$10^2))&gt;0,(($B$9 * (($A190+2)/100))+($B$10 * (($A190+2)/100)^2))/($B$9+2*(($A190+2)/100)*SQRT(1+$B$10^2)),0)&gt;0,(1/$B$17)*(IF(($B$9+2*(($A190+2)/100)*SQRT(1+$B$10^2))&gt;0,(($B$9 * (($A190+2)/100))+($B$10 * (($A190+2)/100)^2))/($B$9+2*(($A190+2)/100)*SQRT(1+$B$10^2)),0)^(2/3))*SQRT($B$16),0))</f>
        <v/>
      </c>
      <c r="E190" s="30" t="str">
        <f>IF(($A190+3)&gt;$B$11, "", IF(IF(($B$9+2*(($A190+3)/100)*SQRT(1+$B$10^2))&gt;0,(($B$9 * (($A190+3)/100))+($B$10 * (($A190+3)/100)^2))/($B$9+2*(($A190+3)/100)*SQRT(1+$B$10^2)),0)&gt;0,(1/$B$17)*(IF(($B$9+2*(($A190+3)/100)*SQRT(1+$B$10^2))&gt;0,(($B$9 * (($A190+3)/100))+($B$10 * (($A190+3)/100)^2))/($B$9+2*(($A190+3)/100)*SQRT(1+$B$10^2)),0)^(2/3))*SQRT($B$16),0))</f>
        <v/>
      </c>
      <c r="F190" s="30" t="str">
        <f>IF(($A190+4)&gt;$B$11, "", IF(IF(($B$9+2*(($A190+4)/100)*SQRT(1+$B$10^2))&gt;0,(($B$9 * (($A190+4)/100))+($B$10 * (($A190+4)/100)^2))/($B$9+2*(($A190+4)/100)*SQRT(1+$B$10^2)),0)&gt;0,(1/$B$17)*(IF(($B$9+2*(($A190+4)/100)*SQRT(1+$B$10^2))&gt;0,(($B$9 * (($A190+4)/100))+($B$10 * (($A190+4)/100)^2))/($B$9+2*(($A190+4)/100)*SQRT(1+$B$10^2)),0)^(2/3))*SQRT($B$16),0))</f>
        <v/>
      </c>
      <c r="G190" s="30" t="str">
        <f>IF(($A190+5)&gt;$B$11, "", IF(IF(($B$9+2*(($A190+5)/100)*SQRT(1+$B$10^2))&gt;0,(($B$9 * (($A190+5)/100))+($B$10 * (($A190+5)/100)^2))/($B$9+2*(($A190+5)/100)*SQRT(1+$B$10^2)),0)&gt;0,(1/$B$17)*(IF(($B$9+2*(($A190+5)/100)*SQRT(1+$B$10^2))&gt;0,(($B$9 * (($A190+5)/100))+($B$10 * (($A190+5)/100)^2))/($B$9+2*(($A190+5)/100)*SQRT(1+$B$10^2)),0)^(2/3))*SQRT($B$16),0))</f>
        <v/>
      </c>
      <c r="H190" s="30" t="str">
        <f>IF(($A190+6)&gt;$B$11, "", IF(IF(($B$9+2*(($A190+6)/100)*SQRT(1+$B$10^2))&gt;0,(($B$9 * (($A190+6)/100))+($B$10 * (($A190+6)/100)^2))/($B$9+2*(($A190+6)/100)*SQRT(1+$B$10^2)),0)&gt;0,(1/$B$17)*(IF(($B$9+2*(($A190+6)/100)*SQRT(1+$B$10^2))&gt;0,(($B$9 * (($A190+6)/100))+($B$10 * (($A190+6)/100)^2))/($B$9+2*(($A190+6)/100)*SQRT(1+$B$10^2)),0)^(2/3))*SQRT($B$16),0))</f>
        <v/>
      </c>
      <c r="I190" s="30" t="str">
        <f>IF(($A190+7)&gt;$B$11, "", IF(IF(($B$9+2*(($A190+7)/100)*SQRT(1+$B$10^2))&gt;0,(($B$9 * (($A190+7)/100))+($B$10 * (($A190+7)/100)^2))/($B$9+2*(($A190+7)/100)*SQRT(1+$B$10^2)),0)&gt;0,(1/$B$17)*(IF(($B$9+2*(($A190+7)/100)*SQRT(1+$B$10^2))&gt;0,(($B$9 * (($A190+7)/100))+($B$10 * (($A190+7)/100)^2))/($B$9+2*(($A190+7)/100)*SQRT(1+$B$10^2)),0)^(2/3))*SQRT($B$16),0))</f>
        <v/>
      </c>
      <c r="J190" s="30" t="str">
        <f>IF(($A190+8)&gt;$B$11, "", IF(IF(($B$9+2*(($A190+8)/100)*SQRT(1+$B$10^2))&gt;0,(($B$9 * (($A190+8)/100))+($B$10 * (($A190+8)/100)^2))/($B$9+2*(($A190+8)/100)*SQRT(1+$B$10^2)),0)&gt;0,(1/$B$17)*(IF(($B$9+2*(($A190+8)/100)*SQRT(1+$B$10^2))&gt;0,(($B$9 * (($A190+8)/100))+($B$10 * (($A190+8)/100)^2))/($B$9+2*(($A190+8)/100)*SQRT(1+$B$10^2)),0)^(2/3))*SQRT($B$16),0))</f>
        <v/>
      </c>
      <c r="K190" s="30" t="str">
        <f>IF(($A190+9)&gt;$B$11, "", IF(IF(($B$9+2*(($A190+9)/100)*SQRT(1+$B$10^2))&gt;0,(($B$9 * (($A190+9)/100))+($B$10 * (($A190+9)/100)^2))/($B$9+2*(($A190+9)/100)*SQRT(1+$B$10^2)),0)&gt;0,(1/$B$17)*(IF(($B$9+2*(($A190+9)/100)*SQRT(1+$B$10^2))&gt;0,(($B$9 * (($A190+9)/100))+($B$10 * (($A190+9)/100)^2))/($B$9+2*(($A190+9)/100)*SQRT(1+$B$10^2)),0)^(2/3))*SQRT($B$16),0))</f>
        <v/>
      </c>
    </row>
    <row r="191">
      <c r="A191" s="11">
        <v>470</v>
      </c>
      <c r="B191" s="30" t="str">
        <f>IF(($A191+0)&gt;$B$11, "", IF(IF(($B$9+2*(($A191+0)/100)*SQRT(1+$B$10^2))&gt;0,(($B$9 * (($A191+0)/100))+($B$10 * (($A191+0)/100)^2))/($B$9+2*(($A191+0)/100)*SQRT(1+$B$10^2)),0)&gt;0,(1/$B$17)*(IF(($B$9+2*(($A191+0)/100)*SQRT(1+$B$10^2))&gt;0,(($B$9 * (($A191+0)/100))+($B$10 * (($A191+0)/100)^2))/($B$9+2*(($A191+0)/100)*SQRT(1+$B$10^2)),0)^(2/3))*SQRT($B$16),0))</f>
        <v/>
      </c>
      <c r="C191" s="30" t="str">
        <f>IF(($A191+1)&gt;$B$11, "", IF(IF(($B$9+2*(($A191+1)/100)*SQRT(1+$B$10^2))&gt;0,(($B$9 * (($A191+1)/100))+($B$10 * (($A191+1)/100)^2))/($B$9+2*(($A191+1)/100)*SQRT(1+$B$10^2)),0)&gt;0,(1/$B$17)*(IF(($B$9+2*(($A191+1)/100)*SQRT(1+$B$10^2))&gt;0,(($B$9 * (($A191+1)/100))+($B$10 * (($A191+1)/100)^2))/($B$9+2*(($A191+1)/100)*SQRT(1+$B$10^2)),0)^(2/3))*SQRT($B$16),0))</f>
        <v/>
      </c>
      <c r="D191" s="30" t="str">
        <f>IF(($A191+2)&gt;$B$11, "", IF(IF(($B$9+2*(($A191+2)/100)*SQRT(1+$B$10^2))&gt;0,(($B$9 * (($A191+2)/100))+($B$10 * (($A191+2)/100)^2))/($B$9+2*(($A191+2)/100)*SQRT(1+$B$10^2)),0)&gt;0,(1/$B$17)*(IF(($B$9+2*(($A191+2)/100)*SQRT(1+$B$10^2))&gt;0,(($B$9 * (($A191+2)/100))+($B$10 * (($A191+2)/100)^2))/($B$9+2*(($A191+2)/100)*SQRT(1+$B$10^2)),0)^(2/3))*SQRT($B$16),0))</f>
        <v/>
      </c>
      <c r="E191" s="30" t="str">
        <f>IF(($A191+3)&gt;$B$11, "", IF(IF(($B$9+2*(($A191+3)/100)*SQRT(1+$B$10^2))&gt;0,(($B$9 * (($A191+3)/100))+($B$10 * (($A191+3)/100)^2))/($B$9+2*(($A191+3)/100)*SQRT(1+$B$10^2)),0)&gt;0,(1/$B$17)*(IF(($B$9+2*(($A191+3)/100)*SQRT(1+$B$10^2))&gt;0,(($B$9 * (($A191+3)/100))+($B$10 * (($A191+3)/100)^2))/($B$9+2*(($A191+3)/100)*SQRT(1+$B$10^2)),0)^(2/3))*SQRT($B$16),0))</f>
        <v/>
      </c>
      <c r="F191" s="30" t="str">
        <f>IF(($A191+4)&gt;$B$11, "", IF(IF(($B$9+2*(($A191+4)/100)*SQRT(1+$B$10^2))&gt;0,(($B$9 * (($A191+4)/100))+($B$10 * (($A191+4)/100)^2))/($B$9+2*(($A191+4)/100)*SQRT(1+$B$10^2)),0)&gt;0,(1/$B$17)*(IF(($B$9+2*(($A191+4)/100)*SQRT(1+$B$10^2))&gt;0,(($B$9 * (($A191+4)/100))+($B$10 * (($A191+4)/100)^2))/($B$9+2*(($A191+4)/100)*SQRT(1+$B$10^2)),0)^(2/3))*SQRT($B$16),0))</f>
        <v/>
      </c>
      <c r="G191" s="30" t="str">
        <f>IF(($A191+5)&gt;$B$11, "", IF(IF(($B$9+2*(($A191+5)/100)*SQRT(1+$B$10^2))&gt;0,(($B$9 * (($A191+5)/100))+($B$10 * (($A191+5)/100)^2))/($B$9+2*(($A191+5)/100)*SQRT(1+$B$10^2)),0)&gt;0,(1/$B$17)*(IF(($B$9+2*(($A191+5)/100)*SQRT(1+$B$10^2))&gt;0,(($B$9 * (($A191+5)/100))+($B$10 * (($A191+5)/100)^2))/($B$9+2*(($A191+5)/100)*SQRT(1+$B$10^2)),0)^(2/3))*SQRT($B$16),0))</f>
        <v/>
      </c>
      <c r="H191" s="30" t="str">
        <f>IF(($A191+6)&gt;$B$11, "", IF(IF(($B$9+2*(($A191+6)/100)*SQRT(1+$B$10^2))&gt;0,(($B$9 * (($A191+6)/100))+($B$10 * (($A191+6)/100)^2))/($B$9+2*(($A191+6)/100)*SQRT(1+$B$10^2)),0)&gt;0,(1/$B$17)*(IF(($B$9+2*(($A191+6)/100)*SQRT(1+$B$10^2))&gt;0,(($B$9 * (($A191+6)/100))+($B$10 * (($A191+6)/100)^2))/($B$9+2*(($A191+6)/100)*SQRT(1+$B$10^2)),0)^(2/3))*SQRT($B$16),0))</f>
        <v/>
      </c>
      <c r="I191" s="30" t="str">
        <f>IF(($A191+7)&gt;$B$11, "", IF(IF(($B$9+2*(($A191+7)/100)*SQRT(1+$B$10^2))&gt;0,(($B$9 * (($A191+7)/100))+($B$10 * (($A191+7)/100)^2))/($B$9+2*(($A191+7)/100)*SQRT(1+$B$10^2)),0)&gt;0,(1/$B$17)*(IF(($B$9+2*(($A191+7)/100)*SQRT(1+$B$10^2))&gt;0,(($B$9 * (($A191+7)/100))+($B$10 * (($A191+7)/100)^2))/($B$9+2*(($A191+7)/100)*SQRT(1+$B$10^2)),0)^(2/3))*SQRT($B$16),0))</f>
        <v/>
      </c>
      <c r="J191" s="30" t="str">
        <f>IF(($A191+8)&gt;$B$11, "", IF(IF(($B$9+2*(($A191+8)/100)*SQRT(1+$B$10^2))&gt;0,(($B$9 * (($A191+8)/100))+($B$10 * (($A191+8)/100)^2))/($B$9+2*(($A191+8)/100)*SQRT(1+$B$10^2)),0)&gt;0,(1/$B$17)*(IF(($B$9+2*(($A191+8)/100)*SQRT(1+$B$10^2))&gt;0,(($B$9 * (($A191+8)/100))+($B$10 * (($A191+8)/100)^2))/($B$9+2*(($A191+8)/100)*SQRT(1+$B$10^2)),0)^(2/3))*SQRT($B$16),0))</f>
        <v/>
      </c>
      <c r="K191" s="30" t="str">
        <f>IF(($A191+9)&gt;$B$11, "", IF(IF(($B$9+2*(($A191+9)/100)*SQRT(1+$B$10^2))&gt;0,(($B$9 * (($A191+9)/100))+($B$10 * (($A191+9)/100)^2))/($B$9+2*(($A191+9)/100)*SQRT(1+$B$10^2)),0)&gt;0,(1/$B$17)*(IF(($B$9+2*(($A191+9)/100)*SQRT(1+$B$10^2))&gt;0,(($B$9 * (($A191+9)/100))+($B$10 * (($A191+9)/100)^2))/($B$9+2*(($A191+9)/100)*SQRT(1+$B$10^2)),0)^(2/3))*SQRT($B$16),0))</f>
        <v/>
      </c>
    </row>
    <row r="192">
      <c r="A192" s="11">
        <v>480</v>
      </c>
      <c r="B192" s="30" t="str">
        <f>IF(($A192+0)&gt;$B$11, "", IF(IF(($B$9+2*(($A192+0)/100)*SQRT(1+$B$10^2))&gt;0,(($B$9 * (($A192+0)/100))+($B$10 * (($A192+0)/100)^2))/($B$9+2*(($A192+0)/100)*SQRT(1+$B$10^2)),0)&gt;0,(1/$B$17)*(IF(($B$9+2*(($A192+0)/100)*SQRT(1+$B$10^2))&gt;0,(($B$9 * (($A192+0)/100))+($B$10 * (($A192+0)/100)^2))/($B$9+2*(($A192+0)/100)*SQRT(1+$B$10^2)),0)^(2/3))*SQRT($B$16),0))</f>
        <v/>
      </c>
      <c r="C192" s="30" t="str">
        <f>IF(($A192+1)&gt;$B$11, "", IF(IF(($B$9+2*(($A192+1)/100)*SQRT(1+$B$10^2))&gt;0,(($B$9 * (($A192+1)/100))+($B$10 * (($A192+1)/100)^2))/($B$9+2*(($A192+1)/100)*SQRT(1+$B$10^2)),0)&gt;0,(1/$B$17)*(IF(($B$9+2*(($A192+1)/100)*SQRT(1+$B$10^2))&gt;0,(($B$9 * (($A192+1)/100))+($B$10 * (($A192+1)/100)^2))/($B$9+2*(($A192+1)/100)*SQRT(1+$B$10^2)),0)^(2/3))*SQRT($B$16),0))</f>
        <v/>
      </c>
      <c r="D192" s="30" t="str">
        <f>IF(($A192+2)&gt;$B$11, "", IF(IF(($B$9+2*(($A192+2)/100)*SQRT(1+$B$10^2))&gt;0,(($B$9 * (($A192+2)/100))+($B$10 * (($A192+2)/100)^2))/($B$9+2*(($A192+2)/100)*SQRT(1+$B$10^2)),0)&gt;0,(1/$B$17)*(IF(($B$9+2*(($A192+2)/100)*SQRT(1+$B$10^2))&gt;0,(($B$9 * (($A192+2)/100))+($B$10 * (($A192+2)/100)^2))/($B$9+2*(($A192+2)/100)*SQRT(1+$B$10^2)),0)^(2/3))*SQRT($B$16),0))</f>
        <v/>
      </c>
      <c r="E192" s="30" t="str">
        <f>IF(($A192+3)&gt;$B$11, "", IF(IF(($B$9+2*(($A192+3)/100)*SQRT(1+$B$10^2))&gt;0,(($B$9 * (($A192+3)/100))+($B$10 * (($A192+3)/100)^2))/($B$9+2*(($A192+3)/100)*SQRT(1+$B$10^2)),0)&gt;0,(1/$B$17)*(IF(($B$9+2*(($A192+3)/100)*SQRT(1+$B$10^2))&gt;0,(($B$9 * (($A192+3)/100))+($B$10 * (($A192+3)/100)^2))/($B$9+2*(($A192+3)/100)*SQRT(1+$B$10^2)),0)^(2/3))*SQRT($B$16),0))</f>
        <v/>
      </c>
      <c r="F192" s="30" t="str">
        <f>IF(($A192+4)&gt;$B$11, "", IF(IF(($B$9+2*(($A192+4)/100)*SQRT(1+$B$10^2))&gt;0,(($B$9 * (($A192+4)/100))+($B$10 * (($A192+4)/100)^2))/($B$9+2*(($A192+4)/100)*SQRT(1+$B$10^2)),0)&gt;0,(1/$B$17)*(IF(($B$9+2*(($A192+4)/100)*SQRT(1+$B$10^2))&gt;0,(($B$9 * (($A192+4)/100))+($B$10 * (($A192+4)/100)^2))/($B$9+2*(($A192+4)/100)*SQRT(1+$B$10^2)),0)^(2/3))*SQRT($B$16),0))</f>
        <v/>
      </c>
      <c r="G192" s="30" t="str">
        <f>IF(($A192+5)&gt;$B$11, "", IF(IF(($B$9+2*(($A192+5)/100)*SQRT(1+$B$10^2))&gt;0,(($B$9 * (($A192+5)/100))+($B$10 * (($A192+5)/100)^2))/($B$9+2*(($A192+5)/100)*SQRT(1+$B$10^2)),0)&gt;0,(1/$B$17)*(IF(($B$9+2*(($A192+5)/100)*SQRT(1+$B$10^2))&gt;0,(($B$9 * (($A192+5)/100))+($B$10 * (($A192+5)/100)^2))/($B$9+2*(($A192+5)/100)*SQRT(1+$B$10^2)),0)^(2/3))*SQRT($B$16),0))</f>
        <v/>
      </c>
      <c r="H192" s="30" t="str">
        <f>IF(($A192+6)&gt;$B$11, "", IF(IF(($B$9+2*(($A192+6)/100)*SQRT(1+$B$10^2))&gt;0,(($B$9 * (($A192+6)/100))+($B$10 * (($A192+6)/100)^2))/($B$9+2*(($A192+6)/100)*SQRT(1+$B$10^2)),0)&gt;0,(1/$B$17)*(IF(($B$9+2*(($A192+6)/100)*SQRT(1+$B$10^2))&gt;0,(($B$9 * (($A192+6)/100))+($B$10 * (($A192+6)/100)^2))/($B$9+2*(($A192+6)/100)*SQRT(1+$B$10^2)),0)^(2/3))*SQRT($B$16),0))</f>
        <v/>
      </c>
      <c r="I192" s="30" t="str">
        <f>IF(($A192+7)&gt;$B$11, "", IF(IF(($B$9+2*(($A192+7)/100)*SQRT(1+$B$10^2))&gt;0,(($B$9 * (($A192+7)/100))+($B$10 * (($A192+7)/100)^2))/($B$9+2*(($A192+7)/100)*SQRT(1+$B$10^2)),0)&gt;0,(1/$B$17)*(IF(($B$9+2*(($A192+7)/100)*SQRT(1+$B$10^2))&gt;0,(($B$9 * (($A192+7)/100))+($B$10 * (($A192+7)/100)^2))/($B$9+2*(($A192+7)/100)*SQRT(1+$B$10^2)),0)^(2/3))*SQRT($B$16),0))</f>
        <v/>
      </c>
      <c r="J192" s="30" t="str">
        <f>IF(($A192+8)&gt;$B$11, "", IF(IF(($B$9+2*(($A192+8)/100)*SQRT(1+$B$10^2))&gt;0,(($B$9 * (($A192+8)/100))+($B$10 * (($A192+8)/100)^2))/($B$9+2*(($A192+8)/100)*SQRT(1+$B$10^2)),0)&gt;0,(1/$B$17)*(IF(($B$9+2*(($A192+8)/100)*SQRT(1+$B$10^2))&gt;0,(($B$9 * (($A192+8)/100))+($B$10 * (($A192+8)/100)^2))/($B$9+2*(($A192+8)/100)*SQRT(1+$B$10^2)),0)^(2/3))*SQRT($B$16),0))</f>
        <v/>
      </c>
      <c r="K192" s="30" t="str">
        <f>IF(($A192+9)&gt;$B$11, "", IF(IF(($B$9+2*(($A192+9)/100)*SQRT(1+$B$10^2))&gt;0,(($B$9 * (($A192+9)/100))+($B$10 * (($A192+9)/100)^2))/($B$9+2*(($A192+9)/100)*SQRT(1+$B$10^2)),0)&gt;0,(1/$B$17)*(IF(($B$9+2*(($A192+9)/100)*SQRT(1+$B$10^2))&gt;0,(($B$9 * (($A192+9)/100))+($B$10 * (($A192+9)/100)^2))/($B$9+2*(($A192+9)/100)*SQRT(1+$B$10^2)),0)^(2/3))*SQRT($B$16),0))</f>
        <v/>
      </c>
    </row>
    <row r="193">
      <c r="A193" s="11">
        <v>490</v>
      </c>
      <c r="B193" s="30" t="str">
        <f>IF(($A193+0)&gt;$B$11, "", IF(IF(($B$9+2*(($A193+0)/100)*SQRT(1+$B$10^2))&gt;0,(($B$9 * (($A193+0)/100))+($B$10 * (($A193+0)/100)^2))/($B$9+2*(($A193+0)/100)*SQRT(1+$B$10^2)),0)&gt;0,(1/$B$17)*(IF(($B$9+2*(($A193+0)/100)*SQRT(1+$B$10^2))&gt;0,(($B$9 * (($A193+0)/100))+($B$10 * (($A193+0)/100)^2))/($B$9+2*(($A193+0)/100)*SQRT(1+$B$10^2)),0)^(2/3))*SQRT($B$16),0))</f>
        <v/>
      </c>
      <c r="C193" s="30" t="str">
        <f>IF(($A193+1)&gt;$B$11, "", IF(IF(($B$9+2*(($A193+1)/100)*SQRT(1+$B$10^2))&gt;0,(($B$9 * (($A193+1)/100))+($B$10 * (($A193+1)/100)^2))/($B$9+2*(($A193+1)/100)*SQRT(1+$B$10^2)),0)&gt;0,(1/$B$17)*(IF(($B$9+2*(($A193+1)/100)*SQRT(1+$B$10^2))&gt;0,(($B$9 * (($A193+1)/100))+($B$10 * (($A193+1)/100)^2))/($B$9+2*(($A193+1)/100)*SQRT(1+$B$10^2)),0)^(2/3))*SQRT($B$16),0))</f>
        <v/>
      </c>
      <c r="D193" s="30" t="str">
        <f>IF(($A193+2)&gt;$B$11, "", IF(IF(($B$9+2*(($A193+2)/100)*SQRT(1+$B$10^2))&gt;0,(($B$9 * (($A193+2)/100))+($B$10 * (($A193+2)/100)^2))/($B$9+2*(($A193+2)/100)*SQRT(1+$B$10^2)),0)&gt;0,(1/$B$17)*(IF(($B$9+2*(($A193+2)/100)*SQRT(1+$B$10^2))&gt;0,(($B$9 * (($A193+2)/100))+($B$10 * (($A193+2)/100)^2))/($B$9+2*(($A193+2)/100)*SQRT(1+$B$10^2)),0)^(2/3))*SQRT($B$16),0))</f>
        <v/>
      </c>
      <c r="E193" s="30" t="str">
        <f>IF(($A193+3)&gt;$B$11, "", IF(IF(($B$9+2*(($A193+3)/100)*SQRT(1+$B$10^2))&gt;0,(($B$9 * (($A193+3)/100))+($B$10 * (($A193+3)/100)^2))/($B$9+2*(($A193+3)/100)*SQRT(1+$B$10^2)),0)&gt;0,(1/$B$17)*(IF(($B$9+2*(($A193+3)/100)*SQRT(1+$B$10^2))&gt;0,(($B$9 * (($A193+3)/100))+($B$10 * (($A193+3)/100)^2))/($B$9+2*(($A193+3)/100)*SQRT(1+$B$10^2)),0)^(2/3))*SQRT($B$16),0))</f>
        <v/>
      </c>
      <c r="F193" s="30" t="str">
        <f>IF(($A193+4)&gt;$B$11, "", IF(IF(($B$9+2*(($A193+4)/100)*SQRT(1+$B$10^2))&gt;0,(($B$9 * (($A193+4)/100))+($B$10 * (($A193+4)/100)^2))/($B$9+2*(($A193+4)/100)*SQRT(1+$B$10^2)),0)&gt;0,(1/$B$17)*(IF(($B$9+2*(($A193+4)/100)*SQRT(1+$B$10^2))&gt;0,(($B$9 * (($A193+4)/100))+($B$10 * (($A193+4)/100)^2))/($B$9+2*(($A193+4)/100)*SQRT(1+$B$10^2)),0)^(2/3))*SQRT($B$16),0))</f>
        <v/>
      </c>
      <c r="G193" s="30" t="str">
        <f>IF(($A193+5)&gt;$B$11, "", IF(IF(($B$9+2*(($A193+5)/100)*SQRT(1+$B$10^2))&gt;0,(($B$9 * (($A193+5)/100))+($B$10 * (($A193+5)/100)^2))/($B$9+2*(($A193+5)/100)*SQRT(1+$B$10^2)),0)&gt;0,(1/$B$17)*(IF(($B$9+2*(($A193+5)/100)*SQRT(1+$B$10^2))&gt;0,(($B$9 * (($A193+5)/100))+($B$10 * (($A193+5)/100)^2))/($B$9+2*(($A193+5)/100)*SQRT(1+$B$10^2)),0)^(2/3))*SQRT($B$16),0))</f>
        <v/>
      </c>
      <c r="H193" s="30" t="str">
        <f>IF(($A193+6)&gt;$B$11, "", IF(IF(($B$9+2*(($A193+6)/100)*SQRT(1+$B$10^2))&gt;0,(($B$9 * (($A193+6)/100))+($B$10 * (($A193+6)/100)^2))/($B$9+2*(($A193+6)/100)*SQRT(1+$B$10^2)),0)&gt;0,(1/$B$17)*(IF(($B$9+2*(($A193+6)/100)*SQRT(1+$B$10^2))&gt;0,(($B$9 * (($A193+6)/100))+($B$10 * (($A193+6)/100)^2))/($B$9+2*(($A193+6)/100)*SQRT(1+$B$10^2)),0)^(2/3))*SQRT($B$16),0))</f>
        <v/>
      </c>
      <c r="I193" s="30" t="str">
        <f>IF(($A193+7)&gt;$B$11, "", IF(IF(($B$9+2*(($A193+7)/100)*SQRT(1+$B$10^2))&gt;0,(($B$9 * (($A193+7)/100))+($B$10 * (($A193+7)/100)^2))/($B$9+2*(($A193+7)/100)*SQRT(1+$B$10^2)),0)&gt;0,(1/$B$17)*(IF(($B$9+2*(($A193+7)/100)*SQRT(1+$B$10^2))&gt;0,(($B$9 * (($A193+7)/100))+($B$10 * (($A193+7)/100)^2))/($B$9+2*(($A193+7)/100)*SQRT(1+$B$10^2)),0)^(2/3))*SQRT($B$16),0))</f>
        <v/>
      </c>
      <c r="J193" s="30" t="str">
        <f>IF(($A193+8)&gt;$B$11, "", IF(IF(($B$9+2*(($A193+8)/100)*SQRT(1+$B$10^2))&gt;0,(($B$9 * (($A193+8)/100))+($B$10 * (($A193+8)/100)^2))/($B$9+2*(($A193+8)/100)*SQRT(1+$B$10^2)),0)&gt;0,(1/$B$17)*(IF(($B$9+2*(($A193+8)/100)*SQRT(1+$B$10^2))&gt;0,(($B$9 * (($A193+8)/100))+($B$10 * (($A193+8)/100)^2))/($B$9+2*(($A193+8)/100)*SQRT(1+$B$10^2)),0)^(2/3))*SQRT($B$16),0))</f>
        <v/>
      </c>
      <c r="K193" s="30" t="str">
        <f>IF(($A193+9)&gt;$B$11, "", IF(IF(($B$9+2*(($A193+9)/100)*SQRT(1+$B$10^2))&gt;0,(($B$9 * (($A193+9)/100))+($B$10 * (($A193+9)/100)^2))/($B$9+2*(($A193+9)/100)*SQRT(1+$B$10^2)),0)&gt;0,(1/$B$17)*(IF(($B$9+2*(($A193+9)/100)*SQRT(1+$B$10^2))&gt;0,(($B$9 * (($A193+9)/100))+($B$10 * (($A193+9)/100)^2))/($B$9+2*(($A193+9)/100)*SQRT(1+$B$10^2)),0)^(2/3))*SQRT($B$16),0))</f>
        <v/>
      </c>
    </row>
    <row r="194">
      <c r="A194" s="11">
        <v>500</v>
      </c>
      <c r="B194" s="30" t="str">
        <f>IF(($A194+0)&gt;$B$11, "", IF(IF(($B$9+2*(($A194+0)/100)*SQRT(1+$B$10^2))&gt;0,(($B$9 * (($A194+0)/100))+($B$10 * (($A194+0)/100)^2))/($B$9+2*(($A194+0)/100)*SQRT(1+$B$10^2)),0)&gt;0,(1/$B$17)*(IF(($B$9+2*(($A194+0)/100)*SQRT(1+$B$10^2))&gt;0,(($B$9 * (($A194+0)/100))+($B$10 * (($A194+0)/100)^2))/($B$9+2*(($A194+0)/100)*SQRT(1+$B$10^2)),0)^(2/3))*SQRT($B$16),0))</f>
        <v/>
      </c>
      <c r="C194" s="30" t="str">
        <f>IF(($A194+1)&gt;$B$11, "", IF(IF(($B$9+2*(($A194+1)/100)*SQRT(1+$B$10^2))&gt;0,(($B$9 * (($A194+1)/100))+($B$10 * (($A194+1)/100)^2))/($B$9+2*(($A194+1)/100)*SQRT(1+$B$10^2)),0)&gt;0,(1/$B$17)*(IF(($B$9+2*(($A194+1)/100)*SQRT(1+$B$10^2))&gt;0,(($B$9 * (($A194+1)/100))+($B$10 * (($A194+1)/100)^2))/($B$9+2*(($A194+1)/100)*SQRT(1+$B$10^2)),0)^(2/3))*SQRT($B$16),0))</f>
        <v/>
      </c>
      <c r="D194" s="30" t="str">
        <f>IF(($A194+2)&gt;$B$11, "", IF(IF(($B$9+2*(($A194+2)/100)*SQRT(1+$B$10^2))&gt;0,(($B$9 * (($A194+2)/100))+($B$10 * (($A194+2)/100)^2))/($B$9+2*(($A194+2)/100)*SQRT(1+$B$10^2)),0)&gt;0,(1/$B$17)*(IF(($B$9+2*(($A194+2)/100)*SQRT(1+$B$10^2))&gt;0,(($B$9 * (($A194+2)/100))+($B$10 * (($A194+2)/100)^2))/($B$9+2*(($A194+2)/100)*SQRT(1+$B$10^2)),0)^(2/3))*SQRT($B$16),0))</f>
        <v/>
      </c>
      <c r="E194" s="30" t="str">
        <f>IF(($A194+3)&gt;$B$11, "", IF(IF(($B$9+2*(($A194+3)/100)*SQRT(1+$B$10^2))&gt;0,(($B$9 * (($A194+3)/100))+($B$10 * (($A194+3)/100)^2))/($B$9+2*(($A194+3)/100)*SQRT(1+$B$10^2)),0)&gt;0,(1/$B$17)*(IF(($B$9+2*(($A194+3)/100)*SQRT(1+$B$10^2))&gt;0,(($B$9 * (($A194+3)/100))+($B$10 * (($A194+3)/100)^2))/($B$9+2*(($A194+3)/100)*SQRT(1+$B$10^2)),0)^(2/3))*SQRT($B$16),0))</f>
        <v/>
      </c>
      <c r="F194" s="30" t="str">
        <f>IF(($A194+4)&gt;$B$11, "", IF(IF(($B$9+2*(($A194+4)/100)*SQRT(1+$B$10^2))&gt;0,(($B$9 * (($A194+4)/100))+($B$10 * (($A194+4)/100)^2))/($B$9+2*(($A194+4)/100)*SQRT(1+$B$10^2)),0)&gt;0,(1/$B$17)*(IF(($B$9+2*(($A194+4)/100)*SQRT(1+$B$10^2))&gt;0,(($B$9 * (($A194+4)/100))+($B$10 * (($A194+4)/100)^2))/($B$9+2*(($A194+4)/100)*SQRT(1+$B$10^2)),0)^(2/3))*SQRT($B$16),0))</f>
        <v/>
      </c>
      <c r="G194" s="30" t="str">
        <f>IF(($A194+5)&gt;$B$11, "", IF(IF(($B$9+2*(($A194+5)/100)*SQRT(1+$B$10^2))&gt;0,(($B$9 * (($A194+5)/100))+($B$10 * (($A194+5)/100)^2))/($B$9+2*(($A194+5)/100)*SQRT(1+$B$10^2)),0)&gt;0,(1/$B$17)*(IF(($B$9+2*(($A194+5)/100)*SQRT(1+$B$10^2))&gt;0,(($B$9 * (($A194+5)/100))+($B$10 * (($A194+5)/100)^2))/($B$9+2*(($A194+5)/100)*SQRT(1+$B$10^2)),0)^(2/3))*SQRT($B$16),0))</f>
        <v/>
      </c>
      <c r="H194" s="30" t="str">
        <f>IF(($A194+6)&gt;$B$11, "", IF(IF(($B$9+2*(($A194+6)/100)*SQRT(1+$B$10^2))&gt;0,(($B$9 * (($A194+6)/100))+($B$10 * (($A194+6)/100)^2))/($B$9+2*(($A194+6)/100)*SQRT(1+$B$10^2)),0)&gt;0,(1/$B$17)*(IF(($B$9+2*(($A194+6)/100)*SQRT(1+$B$10^2))&gt;0,(($B$9 * (($A194+6)/100))+($B$10 * (($A194+6)/100)^2))/($B$9+2*(($A194+6)/100)*SQRT(1+$B$10^2)),0)^(2/3))*SQRT($B$16),0))</f>
        <v/>
      </c>
      <c r="I194" s="30" t="str">
        <f>IF(($A194+7)&gt;$B$11, "", IF(IF(($B$9+2*(($A194+7)/100)*SQRT(1+$B$10^2))&gt;0,(($B$9 * (($A194+7)/100))+($B$10 * (($A194+7)/100)^2))/($B$9+2*(($A194+7)/100)*SQRT(1+$B$10^2)),0)&gt;0,(1/$B$17)*(IF(($B$9+2*(($A194+7)/100)*SQRT(1+$B$10^2))&gt;0,(($B$9 * (($A194+7)/100))+($B$10 * (($A194+7)/100)^2))/($B$9+2*(($A194+7)/100)*SQRT(1+$B$10^2)),0)^(2/3))*SQRT($B$16),0))</f>
        <v/>
      </c>
      <c r="J194" s="30" t="str">
        <f>IF(($A194+8)&gt;$B$11, "", IF(IF(($B$9+2*(($A194+8)/100)*SQRT(1+$B$10^2))&gt;0,(($B$9 * (($A194+8)/100))+($B$10 * (($A194+8)/100)^2))/($B$9+2*(($A194+8)/100)*SQRT(1+$B$10^2)),0)&gt;0,(1/$B$17)*(IF(($B$9+2*(($A194+8)/100)*SQRT(1+$B$10^2))&gt;0,(($B$9 * (($A194+8)/100))+($B$10 * (($A194+8)/100)^2))/($B$9+2*(($A194+8)/100)*SQRT(1+$B$10^2)),0)^(2/3))*SQRT($B$16),0))</f>
        <v/>
      </c>
      <c r="K194" s="30" t="str">
        <f>IF(($A194+9)&gt;$B$11, "", IF(IF(($B$9+2*(($A194+9)/100)*SQRT(1+$B$10^2))&gt;0,(($B$9 * (($A194+9)/100))+($B$10 * (($A194+9)/100)^2))/($B$9+2*(($A194+9)/100)*SQRT(1+$B$10^2)),0)&gt;0,(1/$B$17)*(IF(($B$9+2*(($A194+9)/100)*SQRT(1+$B$10^2))&gt;0,(($B$9 * (($A194+9)/100))+($B$10 * (($A194+9)/100)^2))/($B$9+2*(($A194+9)/100)*SQRT(1+$B$10^2)),0)^(2/3))*SQRT($B$16),0))</f>
        <v/>
      </c>
    </row>
    <row r="196" ht="15">
      <c r="A196" s="10" t="s">
        <v>23</v>
      </c>
    </row>
    <row r="197">
      <c r="A197" s="8" t="s">
        <v>0</v>
      </c>
      <c r="B197" s="8">
        <v>0</v>
      </c>
      <c r="C197" s="8">
        <v>1</v>
      </c>
      <c r="D197" s="8">
        <v>2</v>
      </c>
      <c r="E197" s="8">
        <v>3</v>
      </c>
      <c r="F197" s="8">
        <v>4</v>
      </c>
      <c r="G197" s="8">
        <v>5</v>
      </c>
      <c r="H197" s="8">
        <v>6</v>
      </c>
      <c r="I197" s="8">
        <v>7</v>
      </c>
      <c r="J197" s="8">
        <v>8</v>
      </c>
      <c r="K197" s="8">
        <v>9</v>
      </c>
    </row>
    <row r="198">
      <c r="A198" s="11">
        <v>0</v>
      </c>
      <c r="B198" s="30">
        <f>IF(($A198+0)&gt;$B$11, "", IFERROR((INDEX($F$12:$F$21,MATCH(($A198+0),$E$12:$E$21,1))+(($A198+0)-INDEX($E$12:$E$21,MATCH(($A198+0),$E$12:$E$21,1)))*(IFERROR(INDEX($F$12:$F$21,MATCH(($A198+0),$E$12:$E$21,1)+1),INDEX($F$12:$F$21,MATCH(($A198+0),$E$12:$E$21,1)))-INDEX($F$12:$F$21,MATCH(($A198+0),$E$12:$E$21,1)))/IF((IFERROR(INDEX($E$12:$E$21,MATCH(($A198+0),$E$12:$E$21,1)+1),INDEX($E$12:$E$21,MATCH(($A198+0),$E$12:$E$21,1))+1)-INDEX($E$12:$E$21,MATCH(($A198+0),$E$12:$E$21,1)))=0,1,IFERROR(INDEX($E$12:$E$21,MATCH(($A198+0),$E$12:$E$21,1)+1),INDEX($E$12:$E$21,MATCH(($A198+0),$E$12:$E$21,1))+1)-INDEX($E$12:$E$21,MATCH(($A198+0),$E$12:$E$21,1)))),$F$12))</f>
        <v>3.85</v>
      </c>
      <c r="C198" s="30">
        <f>IF(($A198+1)&gt;$B$11, "", IFERROR((INDEX($F$12:$F$21,MATCH(($A198+1),$E$12:$E$21,1))+(($A198+1)-INDEX($E$12:$E$21,MATCH(($A198+1),$E$12:$E$21,1)))*(IFERROR(INDEX($F$12:$F$21,MATCH(($A198+1),$E$12:$E$21,1)+1),INDEX($F$12:$F$21,MATCH(($A198+1),$E$12:$E$21,1)))-INDEX($F$12:$F$21,MATCH(($A198+1),$E$12:$E$21,1)))/IF((IFERROR(INDEX($E$12:$E$21,MATCH(($A198+1),$E$12:$E$21,1)+1),INDEX($E$12:$E$21,MATCH(($A198+1),$E$12:$E$21,1))+1)-INDEX($E$12:$E$21,MATCH(($A198+1),$E$12:$E$21,1)))=0,1,IFERROR(INDEX($E$12:$E$21,MATCH(($A198+1),$E$12:$E$21,1)+1),INDEX($E$12:$E$21,MATCH(($A198+1),$E$12:$E$21,1))+1)-INDEX($E$12:$E$21,MATCH(($A198+1),$E$12:$E$21,1)))),$F$12))</f>
        <v>3.85</v>
      </c>
      <c r="D198" s="30">
        <f>IF(($A198+2)&gt;$B$11, "", IFERROR((INDEX($F$12:$F$21,MATCH(($A198+2),$E$12:$E$21,1))+(($A198+2)-INDEX($E$12:$E$21,MATCH(($A198+2),$E$12:$E$21,1)))*(IFERROR(INDEX($F$12:$F$21,MATCH(($A198+2),$E$12:$E$21,1)+1),INDEX($F$12:$F$21,MATCH(($A198+2),$E$12:$E$21,1)))-INDEX($F$12:$F$21,MATCH(($A198+2),$E$12:$E$21,1)))/IF((IFERROR(INDEX($E$12:$E$21,MATCH(($A198+2),$E$12:$E$21,1)+1),INDEX($E$12:$E$21,MATCH(($A198+2),$E$12:$E$21,1))+1)-INDEX($E$12:$E$21,MATCH(($A198+2),$E$12:$E$21,1)))=0,1,IFERROR(INDEX($E$12:$E$21,MATCH(($A198+2),$E$12:$E$21,1)+1),INDEX($E$12:$E$21,MATCH(($A198+2),$E$12:$E$21,1))+1)-INDEX($E$12:$E$21,MATCH(($A198+2),$E$12:$E$21,1)))),$F$12))</f>
        <v>3.85</v>
      </c>
      <c r="E198" s="30">
        <f>IF(($A198+3)&gt;$B$11, "", IFERROR((INDEX($F$12:$F$21,MATCH(($A198+3),$E$12:$E$21,1))+(($A198+3)-INDEX($E$12:$E$21,MATCH(($A198+3),$E$12:$E$21,1)))*(IFERROR(INDEX($F$12:$F$21,MATCH(($A198+3),$E$12:$E$21,1)+1),INDEX($F$12:$F$21,MATCH(($A198+3),$E$12:$E$21,1)))-INDEX($F$12:$F$21,MATCH(($A198+3),$E$12:$E$21,1)))/IF((IFERROR(INDEX($E$12:$E$21,MATCH(($A198+3),$E$12:$E$21,1)+1),INDEX($E$12:$E$21,MATCH(($A198+3),$E$12:$E$21,1))+1)-INDEX($E$12:$E$21,MATCH(($A198+3),$E$12:$E$21,1)))=0,1,IFERROR(INDEX($E$12:$E$21,MATCH(($A198+3),$E$12:$E$21,1)+1),INDEX($E$12:$E$21,MATCH(($A198+3),$E$12:$E$21,1))+1)-INDEX($E$12:$E$21,MATCH(($A198+3),$E$12:$E$21,1)))),$F$12))</f>
        <v>3.85</v>
      </c>
      <c r="F198" s="30">
        <f>IF(($A198+4)&gt;$B$11, "", IFERROR((INDEX($F$12:$F$21,MATCH(($A198+4),$E$12:$E$21,1))+(($A198+4)-INDEX($E$12:$E$21,MATCH(($A198+4),$E$12:$E$21,1)))*(IFERROR(INDEX($F$12:$F$21,MATCH(($A198+4),$E$12:$E$21,1)+1),INDEX($F$12:$F$21,MATCH(($A198+4),$E$12:$E$21,1)))-INDEX($F$12:$F$21,MATCH(($A198+4),$E$12:$E$21,1)))/IF((IFERROR(INDEX($E$12:$E$21,MATCH(($A198+4),$E$12:$E$21,1)+1),INDEX($E$12:$E$21,MATCH(($A198+4),$E$12:$E$21,1))+1)-INDEX($E$12:$E$21,MATCH(($A198+4),$E$12:$E$21,1)))=0,1,IFERROR(INDEX($E$12:$E$21,MATCH(($A198+4),$E$12:$E$21,1)+1),INDEX($E$12:$E$21,MATCH(($A198+4),$E$12:$E$21,1))+1)-INDEX($E$12:$E$21,MATCH(($A198+4),$E$12:$E$21,1)))),$F$12))</f>
        <v>3.85</v>
      </c>
      <c r="G198" s="30">
        <f>IF(($A198+5)&gt;$B$11, "", IFERROR((INDEX($F$12:$F$21,MATCH(($A198+5),$E$12:$E$21,1))+(($A198+5)-INDEX($E$12:$E$21,MATCH(($A198+5),$E$12:$E$21,1)))*(IFERROR(INDEX($F$12:$F$21,MATCH(($A198+5),$E$12:$E$21,1)+1),INDEX($F$12:$F$21,MATCH(($A198+5),$E$12:$E$21,1)))-INDEX($F$12:$F$21,MATCH(($A198+5),$E$12:$E$21,1)))/IF((IFERROR(INDEX($E$12:$E$21,MATCH(($A198+5),$E$12:$E$21,1)+1),INDEX($E$12:$E$21,MATCH(($A198+5),$E$12:$E$21,1))+1)-INDEX($E$12:$E$21,MATCH(($A198+5),$E$12:$E$21,1)))=0,1,IFERROR(INDEX($E$12:$E$21,MATCH(($A198+5),$E$12:$E$21,1)+1),INDEX($E$12:$E$21,MATCH(($A198+5),$E$12:$E$21,1))+1)-INDEX($E$12:$E$21,MATCH(($A198+5),$E$12:$E$21,1)))),$F$12))</f>
        <v>3.85</v>
      </c>
      <c r="H198" s="30">
        <f>IF(($A198+6)&gt;$B$11, "", IFERROR((INDEX($F$12:$F$21,MATCH(($A198+6),$E$12:$E$21,1))+(($A198+6)-INDEX($E$12:$E$21,MATCH(($A198+6),$E$12:$E$21,1)))*(IFERROR(INDEX($F$12:$F$21,MATCH(($A198+6),$E$12:$E$21,1)+1),INDEX($F$12:$F$21,MATCH(($A198+6),$E$12:$E$21,1)))-INDEX($F$12:$F$21,MATCH(($A198+6),$E$12:$E$21,1)))/IF((IFERROR(INDEX($E$12:$E$21,MATCH(($A198+6),$E$12:$E$21,1)+1),INDEX($E$12:$E$21,MATCH(($A198+6),$E$12:$E$21,1))+1)-INDEX($E$12:$E$21,MATCH(($A198+6),$E$12:$E$21,1)))=0,1,IFERROR(INDEX($E$12:$E$21,MATCH(($A198+6),$E$12:$E$21,1)+1),INDEX($E$12:$E$21,MATCH(($A198+6),$E$12:$E$21,1))+1)-INDEX($E$12:$E$21,MATCH(($A198+6),$E$12:$E$21,1)))),$F$12))</f>
        <v>3.85</v>
      </c>
      <c r="I198" s="30">
        <f>IF(($A198+7)&gt;$B$11, "", IFERROR((INDEX($F$12:$F$21,MATCH(($A198+7),$E$12:$E$21,1))+(($A198+7)-INDEX($E$12:$E$21,MATCH(($A198+7),$E$12:$E$21,1)))*(IFERROR(INDEX($F$12:$F$21,MATCH(($A198+7),$E$12:$E$21,1)+1),INDEX($F$12:$F$21,MATCH(($A198+7),$E$12:$E$21,1)))-INDEX($F$12:$F$21,MATCH(($A198+7),$E$12:$E$21,1)))/IF((IFERROR(INDEX($E$12:$E$21,MATCH(($A198+7),$E$12:$E$21,1)+1),INDEX($E$12:$E$21,MATCH(($A198+7),$E$12:$E$21,1))+1)-INDEX($E$12:$E$21,MATCH(($A198+7),$E$12:$E$21,1)))=0,1,IFERROR(INDEX($E$12:$E$21,MATCH(($A198+7),$E$12:$E$21,1)+1),INDEX($E$12:$E$21,MATCH(($A198+7),$E$12:$E$21,1))+1)-INDEX($E$12:$E$21,MATCH(($A198+7),$E$12:$E$21,1)))),$F$12))</f>
        <v>3.85</v>
      </c>
      <c r="J198" s="30">
        <f>IF(($A198+8)&gt;$B$11, "", IFERROR((INDEX($F$12:$F$21,MATCH(($A198+8),$E$12:$E$21,1))+(($A198+8)-INDEX($E$12:$E$21,MATCH(($A198+8),$E$12:$E$21,1)))*(IFERROR(INDEX($F$12:$F$21,MATCH(($A198+8),$E$12:$E$21,1)+1),INDEX($F$12:$F$21,MATCH(($A198+8),$E$12:$E$21,1)))-INDEX($F$12:$F$21,MATCH(($A198+8),$E$12:$E$21,1)))/IF((IFERROR(INDEX($E$12:$E$21,MATCH(($A198+8),$E$12:$E$21,1)+1),INDEX($E$12:$E$21,MATCH(($A198+8),$E$12:$E$21,1))+1)-INDEX($E$12:$E$21,MATCH(($A198+8),$E$12:$E$21,1)))=0,1,IFERROR(INDEX($E$12:$E$21,MATCH(($A198+8),$E$12:$E$21,1)+1),INDEX($E$12:$E$21,MATCH(($A198+8),$E$12:$E$21,1))+1)-INDEX($E$12:$E$21,MATCH(($A198+8),$E$12:$E$21,1)))),$F$12))</f>
        <v>3.85</v>
      </c>
      <c r="K198" s="30">
        <f>IF(($A198+9)&gt;$B$11, "", IFERROR((INDEX($F$12:$F$21,MATCH(($A198+9),$E$12:$E$21,1))+(($A198+9)-INDEX($E$12:$E$21,MATCH(($A198+9),$E$12:$E$21,1)))*(IFERROR(INDEX($F$12:$F$21,MATCH(($A198+9),$E$12:$E$21,1)+1),INDEX($F$12:$F$21,MATCH(($A198+9),$E$12:$E$21,1)))-INDEX($F$12:$F$21,MATCH(($A198+9),$E$12:$E$21,1)))/IF((IFERROR(INDEX($E$12:$E$21,MATCH(($A198+9),$E$12:$E$21,1)+1),INDEX($E$12:$E$21,MATCH(($A198+9),$E$12:$E$21,1))+1)-INDEX($E$12:$E$21,MATCH(($A198+9),$E$12:$E$21,1)))=0,1,IFERROR(INDEX($E$12:$E$21,MATCH(($A198+9),$E$12:$E$21,1)+1),INDEX($E$12:$E$21,MATCH(($A198+9),$E$12:$E$21,1))+1)-INDEX($E$12:$E$21,MATCH(($A198+9),$E$12:$E$21,1)))),$F$12))</f>
        <v>3.85</v>
      </c>
    </row>
    <row r="199">
      <c r="A199" s="11">
        <v>10</v>
      </c>
      <c r="B199" s="30">
        <f>IF(($A199+0)&gt;$B$11, "", IFERROR((INDEX($F$12:$F$21,MATCH(($A199+0),$E$12:$E$21,1))+(($A199+0)-INDEX($E$12:$E$21,MATCH(($A199+0),$E$12:$E$21,1)))*(IFERROR(INDEX($F$12:$F$21,MATCH(($A199+0),$E$12:$E$21,1)+1),INDEX($F$12:$F$21,MATCH(($A199+0),$E$12:$E$21,1)))-INDEX($F$12:$F$21,MATCH(($A199+0),$E$12:$E$21,1)))/IF((IFERROR(INDEX($E$12:$E$21,MATCH(($A199+0),$E$12:$E$21,1)+1),INDEX($E$12:$E$21,MATCH(($A199+0),$E$12:$E$21,1))+1)-INDEX($E$12:$E$21,MATCH(($A199+0),$E$12:$E$21,1)))=0,1,IFERROR(INDEX($E$12:$E$21,MATCH(($A199+0),$E$12:$E$21,1)+1),INDEX($E$12:$E$21,MATCH(($A199+0),$E$12:$E$21,1))+1)-INDEX($E$12:$E$21,MATCH(($A199+0),$E$12:$E$21,1)))),$F$12))</f>
        <v>3.85</v>
      </c>
      <c r="C199" s="30">
        <f>IF(($A199+1)&gt;$B$11, "", IFERROR((INDEX($F$12:$F$21,MATCH(($A199+1),$E$12:$E$21,1))+(($A199+1)-INDEX($E$12:$E$21,MATCH(($A199+1),$E$12:$E$21,1)))*(IFERROR(INDEX($F$12:$F$21,MATCH(($A199+1),$E$12:$E$21,1)+1),INDEX($F$12:$F$21,MATCH(($A199+1),$E$12:$E$21,1)))-INDEX($F$12:$F$21,MATCH(($A199+1),$E$12:$E$21,1)))/IF((IFERROR(INDEX($E$12:$E$21,MATCH(($A199+1),$E$12:$E$21,1)+1),INDEX($E$12:$E$21,MATCH(($A199+1),$E$12:$E$21,1))+1)-INDEX($E$12:$E$21,MATCH(($A199+1),$E$12:$E$21,1)))=0,1,IFERROR(INDEX($E$12:$E$21,MATCH(($A199+1),$E$12:$E$21,1)+1),INDEX($E$12:$E$21,MATCH(($A199+1),$E$12:$E$21,1))+1)-INDEX($E$12:$E$21,MATCH(($A199+1),$E$12:$E$21,1)))),$F$12))</f>
        <v>3.85</v>
      </c>
      <c r="D199" s="30">
        <f>IF(($A199+2)&gt;$B$11, "", IFERROR((INDEX($F$12:$F$21,MATCH(($A199+2),$E$12:$E$21,1))+(($A199+2)-INDEX($E$12:$E$21,MATCH(($A199+2),$E$12:$E$21,1)))*(IFERROR(INDEX($F$12:$F$21,MATCH(($A199+2),$E$12:$E$21,1)+1),INDEX($F$12:$F$21,MATCH(($A199+2),$E$12:$E$21,1)))-INDEX($F$12:$F$21,MATCH(($A199+2),$E$12:$E$21,1)))/IF((IFERROR(INDEX($E$12:$E$21,MATCH(($A199+2),$E$12:$E$21,1)+1),INDEX($E$12:$E$21,MATCH(($A199+2),$E$12:$E$21,1))+1)-INDEX($E$12:$E$21,MATCH(($A199+2),$E$12:$E$21,1)))=0,1,IFERROR(INDEX($E$12:$E$21,MATCH(($A199+2),$E$12:$E$21,1)+1),INDEX($E$12:$E$21,MATCH(($A199+2),$E$12:$E$21,1))+1)-INDEX($E$12:$E$21,MATCH(($A199+2),$E$12:$E$21,1)))),$F$12))</f>
        <v>3.85</v>
      </c>
      <c r="E199" s="30">
        <f>IF(($A199+3)&gt;$B$11, "", IFERROR((INDEX($F$12:$F$21,MATCH(($A199+3),$E$12:$E$21,1))+(($A199+3)-INDEX($E$12:$E$21,MATCH(($A199+3),$E$12:$E$21,1)))*(IFERROR(INDEX($F$12:$F$21,MATCH(($A199+3),$E$12:$E$21,1)+1),INDEX($F$12:$F$21,MATCH(($A199+3),$E$12:$E$21,1)))-INDEX($F$12:$F$21,MATCH(($A199+3),$E$12:$E$21,1)))/IF((IFERROR(INDEX($E$12:$E$21,MATCH(($A199+3),$E$12:$E$21,1)+1),INDEX($E$12:$E$21,MATCH(($A199+3),$E$12:$E$21,1))+1)-INDEX($E$12:$E$21,MATCH(($A199+3),$E$12:$E$21,1)))=0,1,IFERROR(INDEX($E$12:$E$21,MATCH(($A199+3),$E$12:$E$21,1)+1),INDEX($E$12:$E$21,MATCH(($A199+3),$E$12:$E$21,1))+1)-INDEX($E$12:$E$21,MATCH(($A199+3),$E$12:$E$21,1)))),$F$12))</f>
        <v>3.85</v>
      </c>
      <c r="F199" s="30">
        <f>IF(($A199+4)&gt;$B$11, "", IFERROR((INDEX($F$12:$F$21,MATCH(($A199+4),$E$12:$E$21,1))+(($A199+4)-INDEX($E$12:$E$21,MATCH(($A199+4),$E$12:$E$21,1)))*(IFERROR(INDEX($F$12:$F$21,MATCH(($A199+4),$E$12:$E$21,1)+1),INDEX($F$12:$F$21,MATCH(($A199+4),$E$12:$E$21,1)))-INDEX($F$12:$F$21,MATCH(($A199+4),$E$12:$E$21,1)))/IF((IFERROR(INDEX($E$12:$E$21,MATCH(($A199+4),$E$12:$E$21,1)+1),INDEX($E$12:$E$21,MATCH(($A199+4),$E$12:$E$21,1))+1)-INDEX($E$12:$E$21,MATCH(($A199+4),$E$12:$E$21,1)))=0,1,IFERROR(INDEX($E$12:$E$21,MATCH(($A199+4),$E$12:$E$21,1)+1),INDEX($E$12:$E$21,MATCH(($A199+4),$E$12:$E$21,1))+1)-INDEX($E$12:$E$21,MATCH(($A199+4),$E$12:$E$21,1)))),$F$12))</f>
        <v>3.85</v>
      </c>
      <c r="G199" s="30">
        <f>IF(($A199+5)&gt;$B$11, "", IFERROR((INDEX($F$12:$F$21,MATCH(($A199+5),$E$12:$E$21,1))+(($A199+5)-INDEX($E$12:$E$21,MATCH(($A199+5),$E$12:$E$21,1)))*(IFERROR(INDEX($F$12:$F$21,MATCH(($A199+5),$E$12:$E$21,1)+1),INDEX($F$12:$F$21,MATCH(($A199+5),$E$12:$E$21,1)))-INDEX($F$12:$F$21,MATCH(($A199+5),$E$12:$E$21,1)))/IF((IFERROR(INDEX($E$12:$E$21,MATCH(($A199+5),$E$12:$E$21,1)+1),INDEX($E$12:$E$21,MATCH(($A199+5),$E$12:$E$21,1))+1)-INDEX($E$12:$E$21,MATCH(($A199+5),$E$12:$E$21,1)))=0,1,IFERROR(INDEX($E$12:$E$21,MATCH(($A199+5),$E$12:$E$21,1)+1),INDEX($E$12:$E$21,MATCH(($A199+5),$E$12:$E$21,1))+1)-INDEX($E$12:$E$21,MATCH(($A199+5),$E$12:$E$21,1)))),$F$12))</f>
        <v>3.85</v>
      </c>
      <c r="H199" s="30" t="str">
        <f>IF(($A199+6)&gt;$B$11, "", IFERROR((INDEX($F$12:$F$21,MATCH(($A199+6),$E$12:$E$21,1))+(($A199+6)-INDEX($E$12:$E$21,MATCH(($A199+6),$E$12:$E$21,1)))*(IFERROR(INDEX($F$12:$F$21,MATCH(($A199+6),$E$12:$E$21,1)+1),INDEX($F$12:$F$21,MATCH(($A199+6),$E$12:$E$21,1)))-INDEX($F$12:$F$21,MATCH(($A199+6),$E$12:$E$21,1)))/IF((IFERROR(INDEX($E$12:$E$21,MATCH(($A199+6),$E$12:$E$21,1)+1),INDEX($E$12:$E$21,MATCH(($A199+6),$E$12:$E$21,1))+1)-INDEX($E$12:$E$21,MATCH(($A199+6),$E$12:$E$21,1)))=0,1,IFERROR(INDEX($E$12:$E$21,MATCH(($A199+6),$E$12:$E$21,1)+1),INDEX($E$12:$E$21,MATCH(($A199+6),$E$12:$E$21,1))+1)-INDEX($E$12:$E$21,MATCH(($A199+6),$E$12:$E$21,1)))),$F$12))</f>
        <v/>
      </c>
      <c r="I199" s="30" t="str">
        <f>IF(($A199+7)&gt;$B$11, "", IFERROR((INDEX($F$12:$F$21,MATCH(($A199+7),$E$12:$E$21,1))+(($A199+7)-INDEX($E$12:$E$21,MATCH(($A199+7),$E$12:$E$21,1)))*(IFERROR(INDEX($F$12:$F$21,MATCH(($A199+7),$E$12:$E$21,1)+1),INDEX($F$12:$F$21,MATCH(($A199+7),$E$12:$E$21,1)))-INDEX($F$12:$F$21,MATCH(($A199+7),$E$12:$E$21,1)))/IF((IFERROR(INDEX($E$12:$E$21,MATCH(($A199+7),$E$12:$E$21,1)+1),INDEX($E$12:$E$21,MATCH(($A199+7),$E$12:$E$21,1))+1)-INDEX($E$12:$E$21,MATCH(($A199+7),$E$12:$E$21,1)))=0,1,IFERROR(INDEX($E$12:$E$21,MATCH(($A199+7),$E$12:$E$21,1)+1),INDEX($E$12:$E$21,MATCH(($A199+7),$E$12:$E$21,1))+1)-INDEX($E$12:$E$21,MATCH(($A199+7),$E$12:$E$21,1)))),$F$12))</f>
        <v/>
      </c>
      <c r="J199" s="30" t="str">
        <f>IF(($A199+8)&gt;$B$11, "", IFERROR((INDEX($F$12:$F$21,MATCH(($A199+8),$E$12:$E$21,1))+(($A199+8)-INDEX($E$12:$E$21,MATCH(($A199+8),$E$12:$E$21,1)))*(IFERROR(INDEX($F$12:$F$21,MATCH(($A199+8),$E$12:$E$21,1)+1),INDEX($F$12:$F$21,MATCH(($A199+8),$E$12:$E$21,1)))-INDEX($F$12:$F$21,MATCH(($A199+8),$E$12:$E$21,1)))/IF((IFERROR(INDEX($E$12:$E$21,MATCH(($A199+8),$E$12:$E$21,1)+1),INDEX($E$12:$E$21,MATCH(($A199+8),$E$12:$E$21,1))+1)-INDEX($E$12:$E$21,MATCH(($A199+8),$E$12:$E$21,1)))=0,1,IFERROR(INDEX($E$12:$E$21,MATCH(($A199+8),$E$12:$E$21,1)+1),INDEX($E$12:$E$21,MATCH(($A199+8),$E$12:$E$21,1))+1)-INDEX($E$12:$E$21,MATCH(($A199+8),$E$12:$E$21,1)))),$F$12))</f>
        <v/>
      </c>
      <c r="K199" s="30" t="str">
        <f>IF(($A199+9)&gt;$B$11, "", IFERROR((INDEX($F$12:$F$21,MATCH(($A199+9),$E$12:$E$21,1))+(($A199+9)-INDEX($E$12:$E$21,MATCH(($A199+9),$E$12:$E$21,1)))*(IFERROR(INDEX($F$12:$F$21,MATCH(($A199+9),$E$12:$E$21,1)+1),INDEX($F$12:$F$21,MATCH(($A199+9),$E$12:$E$21,1)))-INDEX($F$12:$F$21,MATCH(($A199+9),$E$12:$E$21,1)))/IF((IFERROR(INDEX($E$12:$E$21,MATCH(($A199+9),$E$12:$E$21,1)+1),INDEX($E$12:$E$21,MATCH(($A199+9),$E$12:$E$21,1))+1)-INDEX($E$12:$E$21,MATCH(($A199+9),$E$12:$E$21,1)))=0,1,IFERROR(INDEX($E$12:$E$21,MATCH(($A199+9),$E$12:$E$21,1)+1),INDEX($E$12:$E$21,MATCH(($A199+9),$E$12:$E$21,1))+1)-INDEX($E$12:$E$21,MATCH(($A199+9),$E$12:$E$21,1)))),$F$12))</f>
        <v/>
      </c>
    </row>
    <row r="200">
      <c r="A200" s="11">
        <v>20</v>
      </c>
      <c r="B200" s="30" t="str">
        <f>IF(($A200+0)&gt;$B$11, "", IFERROR((INDEX($F$12:$F$21,MATCH(($A200+0),$E$12:$E$21,1))+(($A200+0)-INDEX($E$12:$E$21,MATCH(($A200+0),$E$12:$E$21,1)))*(IFERROR(INDEX($F$12:$F$21,MATCH(($A200+0),$E$12:$E$21,1)+1),INDEX($F$12:$F$21,MATCH(($A200+0),$E$12:$E$21,1)))-INDEX($F$12:$F$21,MATCH(($A200+0),$E$12:$E$21,1)))/IF((IFERROR(INDEX($E$12:$E$21,MATCH(($A200+0),$E$12:$E$21,1)+1),INDEX($E$12:$E$21,MATCH(($A200+0),$E$12:$E$21,1))+1)-INDEX($E$12:$E$21,MATCH(($A200+0),$E$12:$E$21,1)))=0,1,IFERROR(INDEX($E$12:$E$21,MATCH(($A200+0),$E$12:$E$21,1)+1),INDEX($E$12:$E$21,MATCH(($A200+0),$E$12:$E$21,1))+1)-INDEX($E$12:$E$21,MATCH(($A200+0),$E$12:$E$21,1)))),$F$12))</f>
        <v/>
      </c>
      <c r="C200" s="30" t="str">
        <f>IF(($A200+1)&gt;$B$11, "", IFERROR((INDEX($F$12:$F$21,MATCH(($A200+1),$E$12:$E$21,1))+(($A200+1)-INDEX($E$12:$E$21,MATCH(($A200+1),$E$12:$E$21,1)))*(IFERROR(INDEX($F$12:$F$21,MATCH(($A200+1),$E$12:$E$21,1)+1),INDEX($F$12:$F$21,MATCH(($A200+1),$E$12:$E$21,1)))-INDEX($F$12:$F$21,MATCH(($A200+1),$E$12:$E$21,1)))/IF((IFERROR(INDEX($E$12:$E$21,MATCH(($A200+1),$E$12:$E$21,1)+1),INDEX($E$12:$E$21,MATCH(($A200+1),$E$12:$E$21,1))+1)-INDEX($E$12:$E$21,MATCH(($A200+1),$E$12:$E$21,1)))=0,1,IFERROR(INDEX($E$12:$E$21,MATCH(($A200+1),$E$12:$E$21,1)+1),INDEX($E$12:$E$21,MATCH(($A200+1),$E$12:$E$21,1))+1)-INDEX($E$12:$E$21,MATCH(($A200+1),$E$12:$E$21,1)))),$F$12))</f>
        <v/>
      </c>
      <c r="D200" s="30" t="str">
        <f>IF(($A200+2)&gt;$B$11, "", IFERROR((INDEX($F$12:$F$21,MATCH(($A200+2),$E$12:$E$21,1))+(($A200+2)-INDEX($E$12:$E$21,MATCH(($A200+2),$E$12:$E$21,1)))*(IFERROR(INDEX($F$12:$F$21,MATCH(($A200+2),$E$12:$E$21,1)+1),INDEX($F$12:$F$21,MATCH(($A200+2),$E$12:$E$21,1)))-INDEX($F$12:$F$21,MATCH(($A200+2),$E$12:$E$21,1)))/IF((IFERROR(INDEX($E$12:$E$21,MATCH(($A200+2),$E$12:$E$21,1)+1),INDEX($E$12:$E$21,MATCH(($A200+2),$E$12:$E$21,1))+1)-INDEX($E$12:$E$21,MATCH(($A200+2),$E$12:$E$21,1)))=0,1,IFERROR(INDEX($E$12:$E$21,MATCH(($A200+2),$E$12:$E$21,1)+1),INDEX($E$12:$E$21,MATCH(($A200+2),$E$12:$E$21,1))+1)-INDEX($E$12:$E$21,MATCH(($A200+2),$E$12:$E$21,1)))),$F$12))</f>
        <v/>
      </c>
      <c r="E200" s="30" t="str">
        <f>IF(($A200+3)&gt;$B$11, "", IFERROR((INDEX($F$12:$F$21,MATCH(($A200+3),$E$12:$E$21,1))+(($A200+3)-INDEX($E$12:$E$21,MATCH(($A200+3),$E$12:$E$21,1)))*(IFERROR(INDEX($F$12:$F$21,MATCH(($A200+3),$E$12:$E$21,1)+1),INDEX($F$12:$F$21,MATCH(($A200+3),$E$12:$E$21,1)))-INDEX($F$12:$F$21,MATCH(($A200+3),$E$12:$E$21,1)))/IF((IFERROR(INDEX($E$12:$E$21,MATCH(($A200+3),$E$12:$E$21,1)+1),INDEX($E$12:$E$21,MATCH(($A200+3),$E$12:$E$21,1))+1)-INDEX($E$12:$E$21,MATCH(($A200+3),$E$12:$E$21,1)))=0,1,IFERROR(INDEX($E$12:$E$21,MATCH(($A200+3),$E$12:$E$21,1)+1),INDEX($E$12:$E$21,MATCH(($A200+3),$E$12:$E$21,1))+1)-INDEX($E$12:$E$21,MATCH(($A200+3),$E$12:$E$21,1)))),$F$12))</f>
        <v/>
      </c>
      <c r="F200" s="30" t="str">
        <f>IF(($A200+4)&gt;$B$11, "", IFERROR((INDEX($F$12:$F$21,MATCH(($A200+4),$E$12:$E$21,1))+(($A200+4)-INDEX($E$12:$E$21,MATCH(($A200+4),$E$12:$E$21,1)))*(IFERROR(INDEX($F$12:$F$21,MATCH(($A200+4),$E$12:$E$21,1)+1),INDEX($F$12:$F$21,MATCH(($A200+4),$E$12:$E$21,1)))-INDEX($F$12:$F$21,MATCH(($A200+4),$E$12:$E$21,1)))/IF((IFERROR(INDEX($E$12:$E$21,MATCH(($A200+4),$E$12:$E$21,1)+1),INDEX($E$12:$E$21,MATCH(($A200+4),$E$12:$E$21,1))+1)-INDEX($E$12:$E$21,MATCH(($A200+4),$E$12:$E$21,1)))=0,1,IFERROR(INDEX($E$12:$E$21,MATCH(($A200+4),$E$12:$E$21,1)+1),INDEX($E$12:$E$21,MATCH(($A200+4),$E$12:$E$21,1))+1)-INDEX($E$12:$E$21,MATCH(($A200+4),$E$12:$E$21,1)))),$F$12))</f>
        <v/>
      </c>
      <c r="G200" s="30" t="str">
        <f>IF(($A200+5)&gt;$B$11, "", IFERROR((INDEX($F$12:$F$21,MATCH(($A200+5),$E$12:$E$21,1))+(($A200+5)-INDEX($E$12:$E$21,MATCH(($A200+5),$E$12:$E$21,1)))*(IFERROR(INDEX($F$12:$F$21,MATCH(($A200+5),$E$12:$E$21,1)+1),INDEX($F$12:$F$21,MATCH(($A200+5),$E$12:$E$21,1)))-INDEX($F$12:$F$21,MATCH(($A200+5),$E$12:$E$21,1)))/IF((IFERROR(INDEX($E$12:$E$21,MATCH(($A200+5),$E$12:$E$21,1)+1),INDEX($E$12:$E$21,MATCH(($A200+5),$E$12:$E$21,1))+1)-INDEX($E$12:$E$21,MATCH(($A200+5),$E$12:$E$21,1)))=0,1,IFERROR(INDEX($E$12:$E$21,MATCH(($A200+5),$E$12:$E$21,1)+1),INDEX($E$12:$E$21,MATCH(($A200+5),$E$12:$E$21,1))+1)-INDEX($E$12:$E$21,MATCH(($A200+5),$E$12:$E$21,1)))),$F$12))</f>
        <v/>
      </c>
      <c r="H200" s="30" t="str">
        <f>IF(($A200+6)&gt;$B$11, "", IFERROR((INDEX($F$12:$F$21,MATCH(($A200+6),$E$12:$E$21,1))+(($A200+6)-INDEX($E$12:$E$21,MATCH(($A200+6),$E$12:$E$21,1)))*(IFERROR(INDEX($F$12:$F$21,MATCH(($A200+6),$E$12:$E$21,1)+1),INDEX($F$12:$F$21,MATCH(($A200+6),$E$12:$E$21,1)))-INDEX($F$12:$F$21,MATCH(($A200+6),$E$12:$E$21,1)))/IF((IFERROR(INDEX($E$12:$E$21,MATCH(($A200+6),$E$12:$E$21,1)+1),INDEX($E$12:$E$21,MATCH(($A200+6),$E$12:$E$21,1))+1)-INDEX($E$12:$E$21,MATCH(($A200+6),$E$12:$E$21,1)))=0,1,IFERROR(INDEX($E$12:$E$21,MATCH(($A200+6),$E$12:$E$21,1)+1),INDEX($E$12:$E$21,MATCH(($A200+6),$E$12:$E$21,1))+1)-INDEX($E$12:$E$21,MATCH(($A200+6),$E$12:$E$21,1)))),$F$12))</f>
        <v/>
      </c>
      <c r="I200" s="30" t="str">
        <f>IF(($A200+7)&gt;$B$11, "", IFERROR((INDEX($F$12:$F$21,MATCH(($A200+7),$E$12:$E$21,1))+(($A200+7)-INDEX($E$12:$E$21,MATCH(($A200+7),$E$12:$E$21,1)))*(IFERROR(INDEX($F$12:$F$21,MATCH(($A200+7),$E$12:$E$21,1)+1),INDEX($F$12:$F$21,MATCH(($A200+7),$E$12:$E$21,1)))-INDEX($F$12:$F$21,MATCH(($A200+7),$E$12:$E$21,1)))/IF((IFERROR(INDEX($E$12:$E$21,MATCH(($A200+7),$E$12:$E$21,1)+1),INDEX($E$12:$E$21,MATCH(($A200+7),$E$12:$E$21,1))+1)-INDEX($E$12:$E$21,MATCH(($A200+7),$E$12:$E$21,1)))=0,1,IFERROR(INDEX($E$12:$E$21,MATCH(($A200+7),$E$12:$E$21,1)+1),INDEX($E$12:$E$21,MATCH(($A200+7),$E$12:$E$21,1))+1)-INDEX($E$12:$E$21,MATCH(($A200+7),$E$12:$E$21,1)))),$F$12))</f>
        <v/>
      </c>
      <c r="J200" s="30" t="str">
        <f>IF(($A200+8)&gt;$B$11, "", IFERROR((INDEX($F$12:$F$21,MATCH(($A200+8),$E$12:$E$21,1))+(($A200+8)-INDEX($E$12:$E$21,MATCH(($A200+8),$E$12:$E$21,1)))*(IFERROR(INDEX($F$12:$F$21,MATCH(($A200+8),$E$12:$E$21,1)+1),INDEX($F$12:$F$21,MATCH(($A200+8),$E$12:$E$21,1)))-INDEX($F$12:$F$21,MATCH(($A200+8),$E$12:$E$21,1)))/IF((IFERROR(INDEX($E$12:$E$21,MATCH(($A200+8),$E$12:$E$21,1)+1),INDEX($E$12:$E$21,MATCH(($A200+8),$E$12:$E$21,1))+1)-INDEX($E$12:$E$21,MATCH(($A200+8),$E$12:$E$21,1)))=0,1,IFERROR(INDEX($E$12:$E$21,MATCH(($A200+8),$E$12:$E$21,1)+1),INDEX($E$12:$E$21,MATCH(($A200+8),$E$12:$E$21,1))+1)-INDEX($E$12:$E$21,MATCH(($A200+8),$E$12:$E$21,1)))),$F$12))</f>
        <v/>
      </c>
      <c r="K200" s="30" t="str">
        <f>IF(($A200+9)&gt;$B$11, "", IFERROR((INDEX($F$12:$F$21,MATCH(($A200+9),$E$12:$E$21,1))+(($A200+9)-INDEX($E$12:$E$21,MATCH(($A200+9),$E$12:$E$21,1)))*(IFERROR(INDEX($F$12:$F$21,MATCH(($A200+9),$E$12:$E$21,1)+1),INDEX($F$12:$F$21,MATCH(($A200+9),$E$12:$E$21,1)))-INDEX($F$12:$F$21,MATCH(($A200+9),$E$12:$E$21,1)))/IF((IFERROR(INDEX($E$12:$E$21,MATCH(($A200+9),$E$12:$E$21,1)+1),INDEX($E$12:$E$21,MATCH(($A200+9),$E$12:$E$21,1))+1)-INDEX($E$12:$E$21,MATCH(($A200+9),$E$12:$E$21,1)))=0,1,IFERROR(INDEX($E$12:$E$21,MATCH(($A200+9),$E$12:$E$21,1)+1),INDEX($E$12:$E$21,MATCH(($A200+9),$E$12:$E$21,1))+1)-INDEX($E$12:$E$21,MATCH(($A200+9),$E$12:$E$21,1)))),$F$12))</f>
        <v/>
      </c>
    </row>
    <row r="201">
      <c r="A201" s="11">
        <v>30</v>
      </c>
      <c r="B201" s="30" t="str">
        <f>IF(($A201+0)&gt;$B$11, "", IFERROR((INDEX($F$12:$F$21,MATCH(($A201+0),$E$12:$E$21,1))+(($A201+0)-INDEX($E$12:$E$21,MATCH(($A201+0),$E$12:$E$21,1)))*(IFERROR(INDEX($F$12:$F$21,MATCH(($A201+0),$E$12:$E$21,1)+1),INDEX($F$12:$F$21,MATCH(($A201+0),$E$12:$E$21,1)))-INDEX($F$12:$F$21,MATCH(($A201+0),$E$12:$E$21,1)))/IF((IFERROR(INDEX($E$12:$E$21,MATCH(($A201+0),$E$12:$E$21,1)+1),INDEX($E$12:$E$21,MATCH(($A201+0),$E$12:$E$21,1))+1)-INDEX($E$12:$E$21,MATCH(($A201+0),$E$12:$E$21,1)))=0,1,IFERROR(INDEX($E$12:$E$21,MATCH(($A201+0),$E$12:$E$21,1)+1),INDEX($E$12:$E$21,MATCH(($A201+0),$E$12:$E$21,1))+1)-INDEX($E$12:$E$21,MATCH(($A201+0),$E$12:$E$21,1)))),$F$12))</f>
        <v/>
      </c>
      <c r="C201" s="30" t="str">
        <f>IF(($A201+1)&gt;$B$11, "", IFERROR((INDEX($F$12:$F$21,MATCH(($A201+1),$E$12:$E$21,1))+(($A201+1)-INDEX($E$12:$E$21,MATCH(($A201+1),$E$12:$E$21,1)))*(IFERROR(INDEX($F$12:$F$21,MATCH(($A201+1),$E$12:$E$21,1)+1),INDEX($F$12:$F$21,MATCH(($A201+1),$E$12:$E$21,1)))-INDEX($F$12:$F$21,MATCH(($A201+1),$E$12:$E$21,1)))/IF((IFERROR(INDEX($E$12:$E$21,MATCH(($A201+1),$E$12:$E$21,1)+1),INDEX($E$12:$E$21,MATCH(($A201+1),$E$12:$E$21,1))+1)-INDEX($E$12:$E$21,MATCH(($A201+1),$E$12:$E$21,1)))=0,1,IFERROR(INDEX($E$12:$E$21,MATCH(($A201+1),$E$12:$E$21,1)+1),INDEX($E$12:$E$21,MATCH(($A201+1),$E$12:$E$21,1))+1)-INDEX($E$12:$E$21,MATCH(($A201+1),$E$12:$E$21,1)))),$F$12))</f>
        <v/>
      </c>
      <c r="D201" s="30" t="str">
        <f>IF(($A201+2)&gt;$B$11, "", IFERROR((INDEX($F$12:$F$21,MATCH(($A201+2),$E$12:$E$21,1))+(($A201+2)-INDEX($E$12:$E$21,MATCH(($A201+2),$E$12:$E$21,1)))*(IFERROR(INDEX($F$12:$F$21,MATCH(($A201+2),$E$12:$E$21,1)+1),INDEX($F$12:$F$21,MATCH(($A201+2),$E$12:$E$21,1)))-INDEX($F$12:$F$21,MATCH(($A201+2),$E$12:$E$21,1)))/IF((IFERROR(INDEX($E$12:$E$21,MATCH(($A201+2),$E$12:$E$21,1)+1),INDEX($E$12:$E$21,MATCH(($A201+2),$E$12:$E$21,1))+1)-INDEX($E$12:$E$21,MATCH(($A201+2),$E$12:$E$21,1)))=0,1,IFERROR(INDEX($E$12:$E$21,MATCH(($A201+2),$E$12:$E$21,1)+1),INDEX($E$12:$E$21,MATCH(($A201+2),$E$12:$E$21,1))+1)-INDEX($E$12:$E$21,MATCH(($A201+2),$E$12:$E$21,1)))),$F$12))</f>
        <v/>
      </c>
      <c r="E201" s="30" t="str">
        <f>IF(($A201+3)&gt;$B$11, "", IFERROR((INDEX($F$12:$F$21,MATCH(($A201+3),$E$12:$E$21,1))+(($A201+3)-INDEX($E$12:$E$21,MATCH(($A201+3),$E$12:$E$21,1)))*(IFERROR(INDEX($F$12:$F$21,MATCH(($A201+3),$E$12:$E$21,1)+1),INDEX($F$12:$F$21,MATCH(($A201+3),$E$12:$E$21,1)))-INDEX($F$12:$F$21,MATCH(($A201+3),$E$12:$E$21,1)))/IF((IFERROR(INDEX($E$12:$E$21,MATCH(($A201+3),$E$12:$E$21,1)+1),INDEX($E$12:$E$21,MATCH(($A201+3),$E$12:$E$21,1))+1)-INDEX($E$12:$E$21,MATCH(($A201+3),$E$12:$E$21,1)))=0,1,IFERROR(INDEX($E$12:$E$21,MATCH(($A201+3),$E$12:$E$21,1)+1),INDEX($E$12:$E$21,MATCH(($A201+3),$E$12:$E$21,1))+1)-INDEX($E$12:$E$21,MATCH(($A201+3),$E$12:$E$21,1)))),$F$12))</f>
        <v/>
      </c>
      <c r="F201" s="30" t="str">
        <f>IF(($A201+4)&gt;$B$11, "", IFERROR((INDEX($F$12:$F$21,MATCH(($A201+4),$E$12:$E$21,1))+(($A201+4)-INDEX($E$12:$E$21,MATCH(($A201+4),$E$12:$E$21,1)))*(IFERROR(INDEX($F$12:$F$21,MATCH(($A201+4),$E$12:$E$21,1)+1),INDEX($F$12:$F$21,MATCH(($A201+4),$E$12:$E$21,1)))-INDEX($F$12:$F$21,MATCH(($A201+4),$E$12:$E$21,1)))/IF((IFERROR(INDEX($E$12:$E$21,MATCH(($A201+4),$E$12:$E$21,1)+1),INDEX($E$12:$E$21,MATCH(($A201+4),$E$12:$E$21,1))+1)-INDEX($E$12:$E$21,MATCH(($A201+4),$E$12:$E$21,1)))=0,1,IFERROR(INDEX($E$12:$E$21,MATCH(($A201+4),$E$12:$E$21,1)+1),INDEX($E$12:$E$21,MATCH(($A201+4),$E$12:$E$21,1))+1)-INDEX($E$12:$E$21,MATCH(($A201+4),$E$12:$E$21,1)))),$F$12))</f>
        <v/>
      </c>
      <c r="G201" s="30" t="str">
        <f>IF(($A201+5)&gt;$B$11, "", IFERROR((INDEX($F$12:$F$21,MATCH(($A201+5),$E$12:$E$21,1))+(($A201+5)-INDEX($E$12:$E$21,MATCH(($A201+5),$E$12:$E$21,1)))*(IFERROR(INDEX($F$12:$F$21,MATCH(($A201+5),$E$12:$E$21,1)+1),INDEX($F$12:$F$21,MATCH(($A201+5),$E$12:$E$21,1)))-INDEX($F$12:$F$21,MATCH(($A201+5),$E$12:$E$21,1)))/IF((IFERROR(INDEX($E$12:$E$21,MATCH(($A201+5),$E$12:$E$21,1)+1),INDEX($E$12:$E$21,MATCH(($A201+5),$E$12:$E$21,1))+1)-INDEX($E$12:$E$21,MATCH(($A201+5),$E$12:$E$21,1)))=0,1,IFERROR(INDEX($E$12:$E$21,MATCH(($A201+5),$E$12:$E$21,1)+1),INDEX($E$12:$E$21,MATCH(($A201+5),$E$12:$E$21,1))+1)-INDEX($E$12:$E$21,MATCH(($A201+5),$E$12:$E$21,1)))),$F$12))</f>
        <v/>
      </c>
      <c r="H201" s="30" t="str">
        <f>IF(($A201+6)&gt;$B$11, "", IFERROR((INDEX($F$12:$F$21,MATCH(($A201+6),$E$12:$E$21,1))+(($A201+6)-INDEX($E$12:$E$21,MATCH(($A201+6),$E$12:$E$21,1)))*(IFERROR(INDEX($F$12:$F$21,MATCH(($A201+6),$E$12:$E$21,1)+1),INDEX($F$12:$F$21,MATCH(($A201+6),$E$12:$E$21,1)))-INDEX($F$12:$F$21,MATCH(($A201+6),$E$12:$E$21,1)))/IF((IFERROR(INDEX($E$12:$E$21,MATCH(($A201+6),$E$12:$E$21,1)+1),INDEX($E$12:$E$21,MATCH(($A201+6),$E$12:$E$21,1))+1)-INDEX($E$12:$E$21,MATCH(($A201+6),$E$12:$E$21,1)))=0,1,IFERROR(INDEX($E$12:$E$21,MATCH(($A201+6),$E$12:$E$21,1)+1),INDEX($E$12:$E$21,MATCH(($A201+6),$E$12:$E$21,1))+1)-INDEX($E$12:$E$21,MATCH(($A201+6),$E$12:$E$21,1)))),$F$12))</f>
        <v/>
      </c>
      <c r="I201" s="30" t="str">
        <f>IF(($A201+7)&gt;$B$11, "", IFERROR((INDEX($F$12:$F$21,MATCH(($A201+7),$E$12:$E$21,1))+(($A201+7)-INDEX($E$12:$E$21,MATCH(($A201+7),$E$12:$E$21,1)))*(IFERROR(INDEX($F$12:$F$21,MATCH(($A201+7),$E$12:$E$21,1)+1),INDEX($F$12:$F$21,MATCH(($A201+7),$E$12:$E$21,1)))-INDEX($F$12:$F$21,MATCH(($A201+7),$E$12:$E$21,1)))/IF((IFERROR(INDEX($E$12:$E$21,MATCH(($A201+7),$E$12:$E$21,1)+1),INDEX($E$12:$E$21,MATCH(($A201+7),$E$12:$E$21,1))+1)-INDEX($E$12:$E$21,MATCH(($A201+7),$E$12:$E$21,1)))=0,1,IFERROR(INDEX($E$12:$E$21,MATCH(($A201+7),$E$12:$E$21,1)+1),INDEX($E$12:$E$21,MATCH(($A201+7),$E$12:$E$21,1))+1)-INDEX($E$12:$E$21,MATCH(($A201+7),$E$12:$E$21,1)))),$F$12))</f>
        <v/>
      </c>
      <c r="J201" s="30" t="str">
        <f>IF(($A201+8)&gt;$B$11, "", IFERROR((INDEX($F$12:$F$21,MATCH(($A201+8),$E$12:$E$21,1))+(($A201+8)-INDEX($E$12:$E$21,MATCH(($A201+8),$E$12:$E$21,1)))*(IFERROR(INDEX($F$12:$F$21,MATCH(($A201+8),$E$12:$E$21,1)+1),INDEX($F$12:$F$21,MATCH(($A201+8),$E$12:$E$21,1)))-INDEX($F$12:$F$21,MATCH(($A201+8),$E$12:$E$21,1)))/IF((IFERROR(INDEX($E$12:$E$21,MATCH(($A201+8),$E$12:$E$21,1)+1),INDEX($E$12:$E$21,MATCH(($A201+8),$E$12:$E$21,1))+1)-INDEX($E$12:$E$21,MATCH(($A201+8),$E$12:$E$21,1)))=0,1,IFERROR(INDEX($E$12:$E$21,MATCH(($A201+8),$E$12:$E$21,1)+1),INDEX($E$12:$E$21,MATCH(($A201+8),$E$12:$E$21,1))+1)-INDEX($E$12:$E$21,MATCH(($A201+8),$E$12:$E$21,1)))),$F$12))</f>
        <v/>
      </c>
      <c r="K201" s="30" t="str">
        <f>IF(($A201+9)&gt;$B$11, "", IFERROR((INDEX($F$12:$F$21,MATCH(($A201+9),$E$12:$E$21,1))+(($A201+9)-INDEX($E$12:$E$21,MATCH(($A201+9),$E$12:$E$21,1)))*(IFERROR(INDEX($F$12:$F$21,MATCH(($A201+9),$E$12:$E$21,1)+1),INDEX($F$12:$F$21,MATCH(($A201+9),$E$12:$E$21,1)))-INDEX($F$12:$F$21,MATCH(($A201+9),$E$12:$E$21,1)))/IF((IFERROR(INDEX($E$12:$E$21,MATCH(($A201+9),$E$12:$E$21,1)+1),INDEX($E$12:$E$21,MATCH(($A201+9),$E$12:$E$21,1))+1)-INDEX($E$12:$E$21,MATCH(($A201+9),$E$12:$E$21,1)))=0,1,IFERROR(INDEX($E$12:$E$21,MATCH(($A201+9),$E$12:$E$21,1)+1),INDEX($E$12:$E$21,MATCH(($A201+9),$E$12:$E$21,1))+1)-INDEX($E$12:$E$21,MATCH(($A201+9),$E$12:$E$21,1)))),$F$12))</f>
        <v/>
      </c>
    </row>
    <row r="202">
      <c r="A202" s="11">
        <v>40</v>
      </c>
      <c r="B202" s="30" t="str">
        <f>IF(($A202+0)&gt;$B$11, "", IFERROR((INDEX($F$12:$F$21,MATCH(($A202+0),$E$12:$E$21,1))+(($A202+0)-INDEX($E$12:$E$21,MATCH(($A202+0),$E$12:$E$21,1)))*(IFERROR(INDEX($F$12:$F$21,MATCH(($A202+0),$E$12:$E$21,1)+1),INDEX($F$12:$F$21,MATCH(($A202+0),$E$12:$E$21,1)))-INDEX($F$12:$F$21,MATCH(($A202+0),$E$12:$E$21,1)))/IF((IFERROR(INDEX($E$12:$E$21,MATCH(($A202+0),$E$12:$E$21,1)+1),INDEX($E$12:$E$21,MATCH(($A202+0),$E$12:$E$21,1))+1)-INDEX($E$12:$E$21,MATCH(($A202+0),$E$12:$E$21,1)))=0,1,IFERROR(INDEX($E$12:$E$21,MATCH(($A202+0),$E$12:$E$21,1)+1),INDEX($E$12:$E$21,MATCH(($A202+0),$E$12:$E$21,1))+1)-INDEX($E$12:$E$21,MATCH(($A202+0),$E$12:$E$21,1)))),$F$12))</f>
        <v/>
      </c>
      <c r="C202" s="30" t="str">
        <f>IF(($A202+1)&gt;$B$11, "", IFERROR((INDEX($F$12:$F$21,MATCH(($A202+1),$E$12:$E$21,1))+(($A202+1)-INDEX($E$12:$E$21,MATCH(($A202+1),$E$12:$E$21,1)))*(IFERROR(INDEX($F$12:$F$21,MATCH(($A202+1),$E$12:$E$21,1)+1),INDEX($F$12:$F$21,MATCH(($A202+1),$E$12:$E$21,1)))-INDEX($F$12:$F$21,MATCH(($A202+1),$E$12:$E$21,1)))/IF((IFERROR(INDEX($E$12:$E$21,MATCH(($A202+1),$E$12:$E$21,1)+1),INDEX($E$12:$E$21,MATCH(($A202+1),$E$12:$E$21,1))+1)-INDEX($E$12:$E$21,MATCH(($A202+1),$E$12:$E$21,1)))=0,1,IFERROR(INDEX($E$12:$E$21,MATCH(($A202+1),$E$12:$E$21,1)+1),INDEX($E$12:$E$21,MATCH(($A202+1),$E$12:$E$21,1))+1)-INDEX($E$12:$E$21,MATCH(($A202+1),$E$12:$E$21,1)))),$F$12))</f>
        <v/>
      </c>
      <c r="D202" s="30" t="str">
        <f>IF(($A202+2)&gt;$B$11, "", IFERROR((INDEX($F$12:$F$21,MATCH(($A202+2),$E$12:$E$21,1))+(($A202+2)-INDEX($E$12:$E$21,MATCH(($A202+2),$E$12:$E$21,1)))*(IFERROR(INDEX($F$12:$F$21,MATCH(($A202+2),$E$12:$E$21,1)+1),INDEX($F$12:$F$21,MATCH(($A202+2),$E$12:$E$21,1)))-INDEX($F$12:$F$21,MATCH(($A202+2),$E$12:$E$21,1)))/IF((IFERROR(INDEX($E$12:$E$21,MATCH(($A202+2),$E$12:$E$21,1)+1),INDEX($E$12:$E$21,MATCH(($A202+2),$E$12:$E$21,1))+1)-INDEX($E$12:$E$21,MATCH(($A202+2),$E$12:$E$21,1)))=0,1,IFERROR(INDEX($E$12:$E$21,MATCH(($A202+2),$E$12:$E$21,1)+1),INDEX($E$12:$E$21,MATCH(($A202+2),$E$12:$E$21,1))+1)-INDEX($E$12:$E$21,MATCH(($A202+2),$E$12:$E$21,1)))),$F$12))</f>
        <v/>
      </c>
      <c r="E202" s="30" t="str">
        <f>IF(($A202+3)&gt;$B$11, "", IFERROR((INDEX($F$12:$F$21,MATCH(($A202+3),$E$12:$E$21,1))+(($A202+3)-INDEX($E$12:$E$21,MATCH(($A202+3),$E$12:$E$21,1)))*(IFERROR(INDEX($F$12:$F$21,MATCH(($A202+3),$E$12:$E$21,1)+1),INDEX($F$12:$F$21,MATCH(($A202+3),$E$12:$E$21,1)))-INDEX($F$12:$F$21,MATCH(($A202+3),$E$12:$E$21,1)))/IF((IFERROR(INDEX($E$12:$E$21,MATCH(($A202+3),$E$12:$E$21,1)+1),INDEX($E$12:$E$21,MATCH(($A202+3),$E$12:$E$21,1))+1)-INDEX($E$12:$E$21,MATCH(($A202+3),$E$12:$E$21,1)))=0,1,IFERROR(INDEX($E$12:$E$21,MATCH(($A202+3),$E$12:$E$21,1)+1),INDEX($E$12:$E$21,MATCH(($A202+3),$E$12:$E$21,1))+1)-INDEX($E$12:$E$21,MATCH(($A202+3),$E$12:$E$21,1)))),$F$12))</f>
        <v/>
      </c>
      <c r="F202" s="30" t="str">
        <f>IF(($A202+4)&gt;$B$11, "", IFERROR((INDEX($F$12:$F$21,MATCH(($A202+4),$E$12:$E$21,1))+(($A202+4)-INDEX($E$12:$E$21,MATCH(($A202+4),$E$12:$E$21,1)))*(IFERROR(INDEX($F$12:$F$21,MATCH(($A202+4),$E$12:$E$21,1)+1),INDEX($F$12:$F$21,MATCH(($A202+4),$E$12:$E$21,1)))-INDEX($F$12:$F$21,MATCH(($A202+4),$E$12:$E$21,1)))/IF((IFERROR(INDEX($E$12:$E$21,MATCH(($A202+4),$E$12:$E$21,1)+1),INDEX($E$12:$E$21,MATCH(($A202+4),$E$12:$E$21,1))+1)-INDEX($E$12:$E$21,MATCH(($A202+4),$E$12:$E$21,1)))=0,1,IFERROR(INDEX($E$12:$E$21,MATCH(($A202+4),$E$12:$E$21,1)+1),INDEX($E$12:$E$21,MATCH(($A202+4),$E$12:$E$21,1))+1)-INDEX($E$12:$E$21,MATCH(($A202+4),$E$12:$E$21,1)))),$F$12))</f>
        <v/>
      </c>
      <c r="G202" s="30" t="str">
        <f>IF(($A202+5)&gt;$B$11, "", IFERROR((INDEX($F$12:$F$21,MATCH(($A202+5),$E$12:$E$21,1))+(($A202+5)-INDEX($E$12:$E$21,MATCH(($A202+5),$E$12:$E$21,1)))*(IFERROR(INDEX($F$12:$F$21,MATCH(($A202+5),$E$12:$E$21,1)+1),INDEX($F$12:$F$21,MATCH(($A202+5),$E$12:$E$21,1)))-INDEX($F$12:$F$21,MATCH(($A202+5),$E$12:$E$21,1)))/IF((IFERROR(INDEX($E$12:$E$21,MATCH(($A202+5),$E$12:$E$21,1)+1),INDEX($E$12:$E$21,MATCH(($A202+5),$E$12:$E$21,1))+1)-INDEX($E$12:$E$21,MATCH(($A202+5),$E$12:$E$21,1)))=0,1,IFERROR(INDEX($E$12:$E$21,MATCH(($A202+5),$E$12:$E$21,1)+1),INDEX($E$12:$E$21,MATCH(($A202+5),$E$12:$E$21,1))+1)-INDEX($E$12:$E$21,MATCH(($A202+5),$E$12:$E$21,1)))),$F$12))</f>
        <v/>
      </c>
      <c r="H202" s="30" t="str">
        <f>IF(($A202+6)&gt;$B$11, "", IFERROR((INDEX($F$12:$F$21,MATCH(($A202+6),$E$12:$E$21,1))+(($A202+6)-INDEX($E$12:$E$21,MATCH(($A202+6),$E$12:$E$21,1)))*(IFERROR(INDEX($F$12:$F$21,MATCH(($A202+6),$E$12:$E$21,1)+1),INDEX($F$12:$F$21,MATCH(($A202+6),$E$12:$E$21,1)))-INDEX($F$12:$F$21,MATCH(($A202+6),$E$12:$E$21,1)))/IF((IFERROR(INDEX($E$12:$E$21,MATCH(($A202+6),$E$12:$E$21,1)+1),INDEX($E$12:$E$21,MATCH(($A202+6),$E$12:$E$21,1))+1)-INDEX($E$12:$E$21,MATCH(($A202+6),$E$12:$E$21,1)))=0,1,IFERROR(INDEX($E$12:$E$21,MATCH(($A202+6),$E$12:$E$21,1)+1),INDEX($E$12:$E$21,MATCH(($A202+6),$E$12:$E$21,1))+1)-INDEX($E$12:$E$21,MATCH(($A202+6),$E$12:$E$21,1)))),$F$12))</f>
        <v/>
      </c>
      <c r="I202" s="30" t="str">
        <f>IF(($A202+7)&gt;$B$11, "", IFERROR((INDEX($F$12:$F$21,MATCH(($A202+7),$E$12:$E$21,1))+(($A202+7)-INDEX($E$12:$E$21,MATCH(($A202+7),$E$12:$E$21,1)))*(IFERROR(INDEX($F$12:$F$21,MATCH(($A202+7),$E$12:$E$21,1)+1),INDEX($F$12:$F$21,MATCH(($A202+7),$E$12:$E$21,1)))-INDEX($F$12:$F$21,MATCH(($A202+7),$E$12:$E$21,1)))/IF((IFERROR(INDEX($E$12:$E$21,MATCH(($A202+7),$E$12:$E$21,1)+1),INDEX($E$12:$E$21,MATCH(($A202+7),$E$12:$E$21,1))+1)-INDEX($E$12:$E$21,MATCH(($A202+7),$E$12:$E$21,1)))=0,1,IFERROR(INDEX($E$12:$E$21,MATCH(($A202+7),$E$12:$E$21,1)+1),INDEX($E$12:$E$21,MATCH(($A202+7),$E$12:$E$21,1))+1)-INDEX($E$12:$E$21,MATCH(($A202+7),$E$12:$E$21,1)))),$F$12))</f>
        <v/>
      </c>
      <c r="J202" s="30" t="str">
        <f>IF(($A202+8)&gt;$B$11, "", IFERROR((INDEX($F$12:$F$21,MATCH(($A202+8),$E$12:$E$21,1))+(($A202+8)-INDEX($E$12:$E$21,MATCH(($A202+8),$E$12:$E$21,1)))*(IFERROR(INDEX($F$12:$F$21,MATCH(($A202+8),$E$12:$E$21,1)+1),INDEX($F$12:$F$21,MATCH(($A202+8),$E$12:$E$21,1)))-INDEX($F$12:$F$21,MATCH(($A202+8),$E$12:$E$21,1)))/IF((IFERROR(INDEX($E$12:$E$21,MATCH(($A202+8),$E$12:$E$21,1)+1),INDEX($E$12:$E$21,MATCH(($A202+8),$E$12:$E$21,1))+1)-INDEX($E$12:$E$21,MATCH(($A202+8),$E$12:$E$21,1)))=0,1,IFERROR(INDEX($E$12:$E$21,MATCH(($A202+8),$E$12:$E$21,1)+1),INDEX($E$12:$E$21,MATCH(($A202+8),$E$12:$E$21,1))+1)-INDEX($E$12:$E$21,MATCH(($A202+8),$E$12:$E$21,1)))),$F$12))</f>
        <v/>
      </c>
      <c r="K202" s="30" t="str">
        <f>IF(($A202+9)&gt;$B$11, "", IFERROR((INDEX($F$12:$F$21,MATCH(($A202+9),$E$12:$E$21,1))+(($A202+9)-INDEX($E$12:$E$21,MATCH(($A202+9),$E$12:$E$21,1)))*(IFERROR(INDEX($F$12:$F$21,MATCH(($A202+9),$E$12:$E$21,1)+1),INDEX($F$12:$F$21,MATCH(($A202+9),$E$12:$E$21,1)))-INDEX($F$12:$F$21,MATCH(($A202+9),$E$12:$E$21,1)))/IF((IFERROR(INDEX($E$12:$E$21,MATCH(($A202+9),$E$12:$E$21,1)+1),INDEX($E$12:$E$21,MATCH(($A202+9),$E$12:$E$21,1))+1)-INDEX($E$12:$E$21,MATCH(($A202+9),$E$12:$E$21,1)))=0,1,IFERROR(INDEX($E$12:$E$21,MATCH(($A202+9),$E$12:$E$21,1)+1),INDEX($E$12:$E$21,MATCH(($A202+9),$E$12:$E$21,1))+1)-INDEX($E$12:$E$21,MATCH(($A202+9),$E$12:$E$21,1)))),$F$12))</f>
        <v/>
      </c>
    </row>
    <row r="203">
      <c r="A203" s="11">
        <v>50</v>
      </c>
      <c r="B203" s="30" t="str">
        <f>IF(($A203+0)&gt;$B$11, "", IFERROR((INDEX($F$12:$F$21,MATCH(($A203+0),$E$12:$E$21,1))+(($A203+0)-INDEX($E$12:$E$21,MATCH(($A203+0),$E$12:$E$21,1)))*(IFERROR(INDEX($F$12:$F$21,MATCH(($A203+0),$E$12:$E$21,1)+1),INDEX($F$12:$F$21,MATCH(($A203+0),$E$12:$E$21,1)))-INDEX($F$12:$F$21,MATCH(($A203+0),$E$12:$E$21,1)))/IF((IFERROR(INDEX($E$12:$E$21,MATCH(($A203+0),$E$12:$E$21,1)+1),INDEX($E$12:$E$21,MATCH(($A203+0),$E$12:$E$21,1))+1)-INDEX($E$12:$E$21,MATCH(($A203+0),$E$12:$E$21,1)))=0,1,IFERROR(INDEX($E$12:$E$21,MATCH(($A203+0),$E$12:$E$21,1)+1),INDEX($E$12:$E$21,MATCH(($A203+0),$E$12:$E$21,1))+1)-INDEX($E$12:$E$21,MATCH(($A203+0),$E$12:$E$21,1)))),$F$12))</f>
        <v/>
      </c>
      <c r="C203" s="30" t="str">
        <f>IF(($A203+1)&gt;$B$11, "", IFERROR((INDEX($F$12:$F$21,MATCH(($A203+1),$E$12:$E$21,1))+(($A203+1)-INDEX($E$12:$E$21,MATCH(($A203+1),$E$12:$E$21,1)))*(IFERROR(INDEX($F$12:$F$21,MATCH(($A203+1),$E$12:$E$21,1)+1),INDEX($F$12:$F$21,MATCH(($A203+1),$E$12:$E$21,1)))-INDEX($F$12:$F$21,MATCH(($A203+1),$E$12:$E$21,1)))/IF((IFERROR(INDEX($E$12:$E$21,MATCH(($A203+1),$E$12:$E$21,1)+1),INDEX($E$12:$E$21,MATCH(($A203+1),$E$12:$E$21,1))+1)-INDEX($E$12:$E$21,MATCH(($A203+1),$E$12:$E$21,1)))=0,1,IFERROR(INDEX($E$12:$E$21,MATCH(($A203+1),$E$12:$E$21,1)+1),INDEX($E$12:$E$21,MATCH(($A203+1),$E$12:$E$21,1))+1)-INDEX($E$12:$E$21,MATCH(($A203+1),$E$12:$E$21,1)))),$F$12))</f>
        <v/>
      </c>
      <c r="D203" s="30" t="str">
        <f>IF(($A203+2)&gt;$B$11, "", IFERROR((INDEX($F$12:$F$21,MATCH(($A203+2),$E$12:$E$21,1))+(($A203+2)-INDEX($E$12:$E$21,MATCH(($A203+2),$E$12:$E$21,1)))*(IFERROR(INDEX($F$12:$F$21,MATCH(($A203+2),$E$12:$E$21,1)+1),INDEX($F$12:$F$21,MATCH(($A203+2),$E$12:$E$21,1)))-INDEX($F$12:$F$21,MATCH(($A203+2),$E$12:$E$21,1)))/IF((IFERROR(INDEX($E$12:$E$21,MATCH(($A203+2),$E$12:$E$21,1)+1),INDEX($E$12:$E$21,MATCH(($A203+2),$E$12:$E$21,1))+1)-INDEX($E$12:$E$21,MATCH(($A203+2),$E$12:$E$21,1)))=0,1,IFERROR(INDEX($E$12:$E$21,MATCH(($A203+2),$E$12:$E$21,1)+1),INDEX($E$12:$E$21,MATCH(($A203+2),$E$12:$E$21,1))+1)-INDEX($E$12:$E$21,MATCH(($A203+2),$E$12:$E$21,1)))),$F$12))</f>
        <v/>
      </c>
      <c r="E203" s="30" t="str">
        <f>IF(($A203+3)&gt;$B$11, "", IFERROR((INDEX($F$12:$F$21,MATCH(($A203+3),$E$12:$E$21,1))+(($A203+3)-INDEX($E$12:$E$21,MATCH(($A203+3),$E$12:$E$21,1)))*(IFERROR(INDEX($F$12:$F$21,MATCH(($A203+3),$E$12:$E$21,1)+1),INDEX($F$12:$F$21,MATCH(($A203+3),$E$12:$E$21,1)))-INDEX($F$12:$F$21,MATCH(($A203+3),$E$12:$E$21,1)))/IF((IFERROR(INDEX($E$12:$E$21,MATCH(($A203+3),$E$12:$E$21,1)+1),INDEX($E$12:$E$21,MATCH(($A203+3),$E$12:$E$21,1))+1)-INDEX($E$12:$E$21,MATCH(($A203+3),$E$12:$E$21,1)))=0,1,IFERROR(INDEX($E$12:$E$21,MATCH(($A203+3),$E$12:$E$21,1)+1),INDEX($E$12:$E$21,MATCH(($A203+3),$E$12:$E$21,1))+1)-INDEX($E$12:$E$21,MATCH(($A203+3),$E$12:$E$21,1)))),$F$12))</f>
        <v/>
      </c>
      <c r="F203" s="30" t="str">
        <f>IF(($A203+4)&gt;$B$11, "", IFERROR((INDEX($F$12:$F$21,MATCH(($A203+4),$E$12:$E$21,1))+(($A203+4)-INDEX($E$12:$E$21,MATCH(($A203+4),$E$12:$E$21,1)))*(IFERROR(INDEX($F$12:$F$21,MATCH(($A203+4),$E$12:$E$21,1)+1),INDEX($F$12:$F$21,MATCH(($A203+4),$E$12:$E$21,1)))-INDEX($F$12:$F$21,MATCH(($A203+4),$E$12:$E$21,1)))/IF((IFERROR(INDEX($E$12:$E$21,MATCH(($A203+4),$E$12:$E$21,1)+1),INDEX($E$12:$E$21,MATCH(($A203+4),$E$12:$E$21,1))+1)-INDEX($E$12:$E$21,MATCH(($A203+4),$E$12:$E$21,1)))=0,1,IFERROR(INDEX($E$12:$E$21,MATCH(($A203+4),$E$12:$E$21,1)+1),INDEX($E$12:$E$21,MATCH(($A203+4),$E$12:$E$21,1))+1)-INDEX($E$12:$E$21,MATCH(($A203+4),$E$12:$E$21,1)))),$F$12))</f>
        <v/>
      </c>
      <c r="G203" s="30" t="str">
        <f>IF(($A203+5)&gt;$B$11, "", IFERROR((INDEX($F$12:$F$21,MATCH(($A203+5),$E$12:$E$21,1))+(($A203+5)-INDEX($E$12:$E$21,MATCH(($A203+5),$E$12:$E$21,1)))*(IFERROR(INDEX($F$12:$F$21,MATCH(($A203+5),$E$12:$E$21,1)+1),INDEX($F$12:$F$21,MATCH(($A203+5),$E$12:$E$21,1)))-INDEX($F$12:$F$21,MATCH(($A203+5),$E$12:$E$21,1)))/IF((IFERROR(INDEX($E$12:$E$21,MATCH(($A203+5),$E$12:$E$21,1)+1),INDEX($E$12:$E$21,MATCH(($A203+5),$E$12:$E$21,1))+1)-INDEX($E$12:$E$21,MATCH(($A203+5),$E$12:$E$21,1)))=0,1,IFERROR(INDEX($E$12:$E$21,MATCH(($A203+5),$E$12:$E$21,1)+1),INDEX($E$12:$E$21,MATCH(($A203+5),$E$12:$E$21,1))+1)-INDEX($E$12:$E$21,MATCH(($A203+5),$E$12:$E$21,1)))),$F$12))</f>
        <v/>
      </c>
      <c r="H203" s="30" t="str">
        <f>IF(($A203+6)&gt;$B$11, "", IFERROR((INDEX($F$12:$F$21,MATCH(($A203+6),$E$12:$E$21,1))+(($A203+6)-INDEX($E$12:$E$21,MATCH(($A203+6),$E$12:$E$21,1)))*(IFERROR(INDEX($F$12:$F$21,MATCH(($A203+6),$E$12:$E$21,1)+1),INDEX($F$12:$F$21,MATCH(($A203+6),$E$12:$E$21,1)))-INDEX($F$12:$F$21,MATCH(($A203+6),$E$12:$E$21,1)))/IF((IFERROR(INDEX($E$12:$E$21,MATCH(($A203+6),$E$12:$E$21,1)+1),INDEX($E$12:$E$21,MATCH(($A203+6),$E$12:$E$21,1))+1)-INDEX($E$12:$E$21,MATCH(($A203+6),$E$12:$E$21,1)))=0,1,IFERROR(INDEX($E$12:$E$21,MATCH(($A203+6),$E$12:$E$21,1)+1),INDEX($E$12:$E$21,MATCH(($A203+6),$E$12:$E$21,1))+1)-INDEX($E$12:$E$21,MATCH(($A203+6),$E$12:$E$21,1)))),$F$12))</f>
        <v/>
      </c>
      <c r="I203" s="30" t="str">
        <f>IF(($A203+7)&gt;$B$11, "", IFERROR((INDEX($F$12:$F$21,MATCH(($A203+7),$E$12:$E$21,1))+(($A203+7)-INDEX($E$12:$E$21,MATCH(($A203+7),$E$12:$E$21,1)))*(IFERROR(INDEX($F$12:$F$21,MATCH(($A203+7),$E$12:$E$21,1)+1),INDEX($F$12:$F$21,MATCH(($A203+7),$E$12:$E$21,1)))-INDEX($F$12:$F$21,MATCH(($A203+7),$E$12:$E$21,1)))/IF((IFERROR(INDEX($E$12:$E$21,MATCH(($A203+7),$E$12:$E$21,1)+1),INDEX($E$12:$E$21,MATCH(($A203+7),$E$12:$E$21,1))+1)-INDEX($E$12:$E$21,MATCH(($A203+7),$E$12:$E$21,1)))=0,1,IFERROR(INDEX($E$12:$E$21,MATCH(($A203+7),$E$12:$E$21,1)+1),INDEX($E$12:$E$21,MATCH(($A203+7),$E$12:$E$21,1))+1)-INDEX($E$12:$E$21,MATCH(($A203+7),$E$12:$E$21,1)))),$F$12))</f>
        <v/>
      </c>
      <c r="J203" s="30" t="str">
        <f>IF(($A203+8)&gt;$B$11, "", IFERROR((INDEX($F$12:$F$21,MATCH(($A203+8),$E$12:$E$21,1))+(($A203+8)-INDEX($E$12:$E$21,MATCH(($A203+8),$E$12:$E$21,1)))*(IFERROR(INDEX($F$12:$F$21,MATCH(($A203+8),$E$12:$E$21,1)+1),INDEX($F$12:$F$21,MATCH(($A203+8),$E$12:$E$21,1)))-INDEX($F$12:$F$21,MATCH(($A203+8),$E$12:$E$21,1)))/IF((IFERROR(INDEX($E$12:$E$21,MATCH(($A203+8),$E$12:$E$21,1)+1),INDEX($E$12:$E$21,MATCH(($A203+8),$E$12:$E$21,1))+1)-INDEX($E$12:$E$21,MATCH(($A203+8),$E$12:$E$21,1)))=0,1,IFERROR(INDEX($E$12:$E$21,MATCH(($A203+8),$E$12:$E$21,1)+1),INDEX($E$12:$E$21,MATCH(($A203+8),$E$12:$E$21,1))+1)-INDEX($E$12:$E$21,MATCH(($A203+8),$E$12:$E$21,1)))),$F$12))</f>
        <v/>
      </c>
      <c r="K203" s="30" t="str">
        <f>IF(($A203+9)&gt;$B$11, "", IFERROR((INDEX($F$12:$F$21,MATCH(($A203+9),$E$12:$E$21,1))+(($A203+9)-INDEX($E$12:$E$21,MATCH(($A203+9),$E$12:$E$21,1)))*(IFERROR(INDEX($F$12:$F$21,MATCH(($A203+9),$E$12:$E$21,1)+1),INDEX($F$12:$F$21,MATCH(($A203+9),$E$12:$E$21,1)))-INDEX($F$12:$F$21,MATCH(($A203+9),$E$12:$E$21,1)))/IF((IFERROR(INDEX($E$12:$E$21,MATCH(($A203+9),$E$12:$E$21,1)+1),INDEX($E$12:$E$21,MATCH(($A203+9),$E$12:$E$21,1))+1)-INDEX($E$12:$E$21,MATCH(($A203+9),$E$12:$E$21,1)))=0,1,IFERROR(INDEX($E$12:$E$21,MATCH(($A203+9),$E$12:$E$21,1)+1),INDEX($E$12:$E$21,MATCH(($A203+9),$E$12:$E$21,1))+1)-INDEX($E$12:$E$21,MATCH(($A203+9),$E$12:$E$21,1)))),$F$12))</f>
        <v/>
      </c>
    </row>
    <row r="204">
      <c r="A204" s="11">
        <v>60</v>
      </c>
      <c r="B204" s="30" t="str">
        <f>IF(($A204+0)&gt;$B$11, "", IFERROR((INDEX($F$12:$F$21,MATCH(($A204+0),$E$12:$E$21,1))+(($A204+0)-INDEX($E$12:$E$21,MATCH(($A204+0),$E$12:$E$21,1)))*(IFERROR(INDEX($F$12:$F$21,MATCH(($A204+0),$E$12:$E$21,1)+1),INDEX($F$12:$F$21,MATCH(($A204+0),$E$12:$E$21,1)))-INDEX($F$12:$F$21,MATCH(($A204+0),$E$12:$E$21,1)))/IF((IFERROR(INDEX($E$12:$E$21,MATCH(($A204+0),$E$12:$E$21,1)+1),INDEX($E$12:$E$21,MATCH(($A204+0),$E$12:$E$21,1))+1)-INDEX($E$12:$E$21,MATCH(($A204+0),$E$12:$E$21,1)))=0,1,IFERROR(INDEX($E$12:$E$21,MATCH(($A204+0),$E$12:$E$21,1)+1),INDEX($E$12:$E$21,MATCH(($A204+0),$E$12:$E$21,1))+1)-INDEX($E$12:$E$21,MATCH(($A204+0),$E$12:$E$21,1)))),$F$12))</f>
        <v/>
      </c>
      <c r="C204" s="30" t="str">
        <f>IF(($A204+1)&gt;$B$11, "", IFERROR((INDEX($F$12:$F$21,MATCH(($A204+1),$E$12:$E$21,1))+(($A204+1)-INDEX($E$12:$E$21,MATCH(($A204+1),$E$12:$E$21,1)))*(IFERROR(INDEX($F$12:$F$21,MATCH(($A204+1),$E$12:$E$21,1)+1),INDEX($F$12:$F$21,MATCH(($A204+1),$E$12:$E$21,1)))-INDEX($F$12:$F$21,MATCH(($A204+1),$E$12:$E$21,1)))/IF((IFERROR(INDEX($E$12:$E$21,MATCH(($A204+1),$E$12:$E$21,1)+1),INDEX($E$12:$E$21,MATCH(($A204+1),$E$12:$E$21,1))+1)-INDEX($E$12:$E$21,MATCH(($A204+1),$E$12:$E$21,1)))=0,1,IFERROR(INDEX($E$12:$E$21,MATCH(($A204+1),$E$12:$E$21,1)+1),INDEX($E$12:$E$21,MATCH(($A204+1),$E$12:$E$21,1))+1)-INDEX($E$12:$E$21,MATCH(($A204+1),$E$12:$E$21,1)))),$F$12))</f>
        <v/>
      </c>
      <c r="D204" s="30" t="str">
        <f>IF(($A204+2)&gt;$B$11, "", IFERROR((INDEX($F$12:$F$21,MATCH(($A204+2),$E$12:$E$21,1))+(($A204+2)-INDEX($E$12:$E$21,MATCH(($A204+2),$E$12:$E$21,1)))*(IFERROR(INDEX($F$12:$F$21,MATCH(($A204+2),$E$12:$E$21,1)+1),INDEX($F$12:$F$21,MATCH(($A204+2),$E$12:$E$21,1)))-INDEX($F$12:$F$21,MATCH(($A204+2),$E$12:$E$21,1)))/IF((IFERROR(INDEX($E$12:$E$21,MATCH(($A204+2),$E$12:$E$21,1)+1),INDEX($E$12:$E$21,MATCH(($A204+2),$E$12:$E$21,1))+1)-INDEX($E$12:$E$21,MATCH(($A204+2),$E$12:$E$21,1)))=0,1,IFERROR(INDEX($E$12:$E$21,MATCH(($A204+2),$E$12:$E$21,1)+1),INDEX($E$12:$E$21,MATCH(($A204+2),$E$12:$E$21,1))+1)-INDEX($E$12:$E$21,MATCH(($A204+2),$E$12:$E$21,1)))),$F$12))</f>
        <v/>
      </c>
      <c r="E204" s="30" t="str">
        <f>IF(($A204+3)&gt;$B$11, "", IFERROR((INDEX($F$12:$F$21,MATCH(($A204+3),$E$12:$E$21,1))+(($A204+3)-INDEX($E$12:$E$21,MATCH(($A204+3),$E$12:$E$21,1)))*(IFERROR(INDEX($F$12:$F$21,MATCH(($A204+3),$E$12:$E$21,1)+1),INDEX($F$12:$F$21,MATCH(($A204+3),$E$12:$E$21,1)))-INDEX($F$12:$F$21,MATCH(($A204+3),$E$12:$E$21,1)))/IF((IFERROR(INDEX($E$12:$E$21,MATCH(($A204+3),$E$12:$E$21,1)+1),INDEX($E$12:$E$21,MATCH(($A204+3),$E$12:$E$21,1))+1)-INDEX($E$12:$E$21,MATCH(($A204+3),$E$12:$E$21,1)))=0,1,IFERROR(INDEX($E$12:$E$21,MATCH(($A204+3),$E$12:$E$21,1)+1),INDEX($E$12:$E$21,MATCH(($A204+3),$E$12:$E$21,1))+1)-INDEX($E$12:$E$21,MATCH(($A204+3),$E$12:$E$21,1)))),$F$12))</f>
        <v/>
      </c>
      <c r="F204" s="30" t="str">
        <f>IF(($A204+4)&gt;$B$11, "", IFERROR((INDEX($F$12:$F$21,MATCH(($A204+4),$E$12:$E$21,1))+(($A204+4)-INDEX($E$12:$E$21,MATCH(($A204+4),$E$12:$E$21,1)))*(IFERROR(INDEX($F$12:$F$21,MATCH(($A204+4),$E$12:$E$21,1)+1),INDEX($F$12:$F$21,MATCH(($A204+4),$E$12:$E$21,1)))-INDEX($F$12:$F$21,MATCH(($A204+4),$E$12:$E$21,1)))/IF((IFERROR(INDEX($E$12:$E$21,MATCH(($A204+4),$E$12:$E$21,1)+1),INDEX($E$12:$E$21,MATCH(($A204+4),$E$12:$E$21,1))+1)-INDEX($E$12:$E$21,MATCH(($A204+4),$E$12:$E$21,1)))=0,1,IFERROR(INDEX($E$12:$E$21,MATCH(($A204+4),$E$12:$E$21,1)+1),INDEX($E$12:$E$21,MATCH(($A204+4),$E$12:$E$21,1))+1)-INDEX($E$12:$E$21,MATCH(($A204+4),$E$12:$E$21,1)))),$F$12))</f>
        <v/>
      </c>
      <c r="G204" s="30" t="str">
        <f>IF(($A204+5)&gt;$B$11, "", IFERROR((INDEX($F$12:$F$21,MATCH(($A204+5),$E$12:$E$21,1))+(($A204+5)-INDEX($E$12:$E$21,MATCH(($A204+5),$E$12:$E$21,1)))*(IFERROR(INDEX($F$12:$F$21,MATCH(($A204+5),$E$12:$E$21,1)+1),INDEX($F$12:$F$21,MATCH(($A204+5),$E$12:$E$21,1)))-INDEX($F$12:$F$21,MATCH(($A204+5),$E$12:$E$21,1)))/IF((IFERROR(INDEX($E$12:$E$21,MATCH(($A204+5),$E$12:$E$21,1)+1),INDEX($E$12:$E$21,MATCH(($A204+5),$E$12:$E$21,1))+1)-INDEX($E$12:$E$21,MATCH(($A204+5),$E$12:$E$21,1)))=0,1,IFERROR(INDEX($E$12:$E$21,MATCH(($A204+5),$E$12:$E$21,1)+1),INDEX($E$12:$E$21,MATCH(($A204+5),$E$12:$E$21,1))+1)-INDEX($E$12:$E$21,MATCH(($A204+5),$E$12:$E$21,1)))),$F$12))</f>
        <v/>
      </c>
      <c r="H204" s="30" t="str">
        <f>IF(($A204+6)&gt;$B$11, "", IFERROR((INDEX($F$12:$F$21,MATCH(($A204+6),$E$12:$E$21,1))+(($A204+6)-INDEX($E$12:$E$21,MATCH(($A204+6),$E$12:$E$21,1)))*(IFERROR(INDEX($F$12:$F$21,MATCH(($A204+6),$E$12:$E$21,1)+1),INDEX($F$12:$F$21,MATCH(($A204+6),$E$12:$E$21,1)))-INDEX($F$12:$F$21,MATCH(($A204+6),$E$12:$E$21,1)))/IF((IFERROR(INDEX($E$12:$E$21,MATCH(($A204+6),$E$12:$E$21,1)+1),INDEX($E$12:$E$21,MATCH(($A204+6),$E$12:$E$21,1))+1)-INDEX($E$12:$E$21,MATCH(($A204+6),$E$12:$E$21,1)))=0,1,IFERROR(INDEX($E$12:$E$21,MATCH(($A204+6),$E$12:$E$21,1)+1),INDEX($E$12:$E$21,MATCH(($A204+6),$E$12:$E$21,1))+1)-INDEX($E$12:$E$21,MATCH(($A204+6),$E$12:$E$21,1)))),$F$12))</f>
        <v/>
      </c>
      <c r="I204" s="30" t="str">
        <f>IF(($A204+7)&gt;$B$11, "", IFERROR((INDEX($F$12:$F$21,MATCH(($A204+7),$E$12:$E$21,1))+(($A204+7)-INDEX($E$12:$E$21,MATCH(($A204+7),$E$12:$E$21,1)))*(IFERROR(INDEX($F$12:$F$21,MATCH(($A204+7),$E$12:$E$21,1)+1),INDEX($F$12:$F$21,MATCH(($A204+7),$E$12:$E$21,1)))-INDEX($F$12:$F$21,MATCH(($A204+7),$E$12:$E$21,1)))/IF((IFERROR(INDEX($E$12:$E$21,MATCH(($A204+7),$E$12:$E$21,1)+1),INDEX($E$12:$E$21,MATCH(($A204+7),$E$12:$E$21,1))+1)-INDEX($E$12:$E$21,MATCH(($A204+7),$E$12:$E$21,1)))=0,1,IFERROR(INDEX($E$12:$E$21,MATCH(($A204+7),$E$12:$E$21,1)+1),INDEX($E$12:$E$21,MATCH(($A204+7),$E$12:$E$21,1))+1)-INDEX($E$12:$E$21,MATCH(($A204+7),$E$12:$E$21,1)))),$F$12))</f>
        <v/>
      </c>
      <c r="J204" s="30" t="str">
        <f>IF(($A204+8)&gt;$B$11, "", IFERROR((INDEX($F$12:$F$21,MATCH(($A204+8),$E$12:$E$21,1))+(($A204+8)-INDEX($E$12:$E$21,MATCH(($A204+8),$E$12:$E$21,1)))*(IFERROR(INDEX($F$12:$F$21,MATCH(($A204+8),$E$12:$E$21,1)+1),INDEX($F$12:$F$21,MATCH(($A204+8),$E$12:$E$21,1)))-INDEX($F$12:$F$21,MATCH(($A204+8),$E$12:$E$21,1)))/IF((IFERROR(INDEX($E$12:$E$21,MATCH(($A204+8),$E$12:$E$21,1)+1),INDEX($E$12:$E$21,MATCH(($A204+8),$E$12:$E$21,1))+1)-INDEX($E$12:$E$21,MATCH(($A204+8),$E$12:$E$21,1)))=0,1,IFERROR(INDEX($E$12:$E$21,MATCH(($A204+8),$E$12:$E$21,1)+1),INDEX($E$12:$E$21,MATCH(($A204+8),$E$12:$E$21,1))+1)-INDEX($E$12:$E$21,MATCH(($A204+8),$E$12:$E$21,1)))),$F$12))</f>
        <v/>
      </c>
      <c r="K204" s="30" t="str">
        <f>IF(($A204+9)&gt;$B$11, "", IFERROR((INDEX($F$12:$F$21,MATCH(($A204+9),$E$12:$E$21,1))+(($A204+9)-INDEX($E$12:$E$21,MATCH(($A204+9),$E$12:$E$21,1)))*(IFERROR(INDEX($F$12:$F$21,MATCH(($A204+9),$E$12:$E$21,1)+1),INDEX($F$12:$F$21,MATCH(($A204+9),$E$12:$E$21,1)))-INDEX($F$12:$F$21,MATCH(($A204+9),$E$12:$E$21,1)))/IF((IFERROR(INDEX($E$12:$E$21,MATCH(($A204+9),$E$12:$E$21,1)+1),INDEX($E$12:$E$21,MATCH(($A204+9),$E$12:$E$21,1))+1)-INDEX($E$12:$E$21,MATCH(($A204+9),$E$12:$E$21,1)))=0,1,IFERROR(INDEX($E$12:$E$21,MATCH(($A204+9),$E$12:$E$21,1)+1),INDEX($E$12:$E$21,MATCH(($A204+9),$E$12:$E$21,1))+1)-INDEX($E$12:$E$21,MATCH(($A204+9),$E$12:$E$21,1)))),$F$12))</f>
        <v/>
      </c>
    </row>
    <row r="205">
      <c r="A205" s="11">
        <v>70</v>
      </c>
      <c r="B205" s="30" t="str">
        <f>IF(($A205+0)&gt;$B$11, "", IFERROR((INDEX($F$12:$F$21,MATCH(($A205+0),$E$12:$E$21,1))+(($A205+0)-INDEX($E$12:$E$21,MATCH(($A205+0),$E$12:$E$21,1)))*(IFERROR(INDEX($F$12:$F$21,MATCH(($A205+0),$E$12:$E$21,1)+1),INDEX($F$12:$F$21,MATCH(($A205+0),$E$12:$E$21,1)))-INDEX($F$12:$F$21,MATCH(($A205+0),$E$12:$E$21,1)))/IF((IFERROR(INDEX($E$12:$E$21,MATCH(($A205+0),$E$12:$E$21,1)+1),INDEX($E$12:$E$21,MATCH(($A205+0),$E$12:$E$21,1))+1)-INDEX($E$12:$E$21,MATCH(($A205+0),$E$12:$E$21,1)))=0,1,IFERROR(INDEX($E$12:$E$21,MATCH(($A205+0),$E$12:$E$21,1)+1),INDEX($E$12:$E$21,MATCH(($A205+0),$E$12:$E$21,1))+1)-INDEX($E$12:$E$21,MATCH(($A205+0),$E$12:$E$21,1)))),$F$12))</f>
        <v/>
      </c>
      <c r="C205" s="30" t="str">
        <f>IF(($A205+1)&gt;$B$11, "", IFERROR((INDEX($F$12:$F$21,MATCH(($A205+1),$E$12:$E$21,1))+(($A205+1)-INDEX($E$12:$E$21,MATCH(($A205+1),$E$12:$E$21,1)))*(IFERROR(INDEX($F$12:$F$21,MATCH(($A205+1),$E$12:$E$21,1)+1),INDEX($F$12:$F$21,MATCH(($A205+1),$E$12:$E$21,1)))-INDEX($F$12:$F$21,MATCH(($A205+1),$E$12:$E$21,1)))/IF((IFERROR(INDEX($E$12:$E$21,MATCH(($A205+1),$E$12:$E$21,1)+1),INDEX($E$12:$E$21,MATCH(($A205+1),$E$12:$E$21,1))+1)-INDEX($E$12:$E$21,MATCH(($A205+1),$E$12:$E$21,1)))=0,1,IFERROR(INDEX($E$12:$E$21,MATCH(($A205+1),$E$12:$E$21,1)+1),INDEX($E$12:$E$21,MATCH(($A205+1),$E$12:$E$21,1))+1)-INDEX($E$12:$E$21,MATCH(($A205+1),$E$12:$E$21,1)))),$F$12))</f>
        <v/>
      </c>
      <c r="D205" s="30" t="str">
        <f>IF(($A205+2)&gt;$B$11, "", IFERROR((INDEX($F$12:$F$21,MATCH(($A205+2),$E$12:$E$21,1))+(($A205+2)-INDEX($E$12:$E$21,MATCH(($A205+2),$E$12:$E$21,1)))*(IFERROR(INDEX($F$12:$F$21,MATCH(($A205+2),$E$12:$E$21,1)+1),INDEX($F$12:$F$21,MATCH(($A205+2),$E$12:$E$21,1)))-INDEX($F$12:$F$21,MATCH(($A205+2),$E$12:$E$21,1)))/IF((IFERROR(INDEX($E$12:$E$21,MATCH(($A205+2),$E$12:$E$21,1)+1),INDEX($E$12:$E$21,MATCH(($A205+2),$E$12:$E$21,1))+1)-INDEX($E$12:$E$21,MATCH(($A205+2),$E$12:$E$21,1)))=0,1,IFERROR(INDEX($E$12:$E$21,MATCH(($A205+2),$E$12:$E$21,1)+1),INDEX($E$12:$E$21,MATCH(($A205+2),$E$12:$E$21,1))+1)-INDEX($E$12:$E$21,MATCH(($A205+2),$E$12:$E$21,1)))),$F$12))</f>
        <v/>
      </c>
      <c r="E205" s="30" t="str">
        <f>IF(($A205+3)&gt;$B$11, "", IFERROR((INDEX($F$12:$F$21,MATCH(($A205+3),$E$12:$E$21,1))+(($A205+3)-INDEX($E$12:$E$21,MATCH(($A205+3),$E$12:$E$21,1)))*(IFERROR(INDEX($F$12:$F$21,MATCH(($A205+3),$E$12:$E$21,1)+1),INDEX($F$12:$F$21,MATCH(($A205+3),$E$12:$E$21,1)))-INDEX($F$12:$F$21,MATCH(($A205+3),$E$12:$E$21,1)))/IF((IFERROR(INDEX($E$12:$E$21,MATCH(($A205+3),$E$12:$E$21,1)+1),INDEX($E$12:$E$21,MATCH(($A205+3),$E$12:$E$21,1))+1)-INDEX($E$12:$E$21,MATCH(($A205+3),$E$12:$E$21,1)))=0,1,IFERROR(INDEX($E$12:$E$21,MATCH(($A205+3),$E$12:$E$21,1)+1),INDEX($E$12:$E$21,MATCH(($A205+3),$E$12:$E$21,1))+1)-INDEX($E$12:$E$21,MATCH(($A205+3),$E$12:$E$21,1)))),$F$12))</f>
        <v/>
      </c>
      <c r="F205" s="30" t="str">
        <f>IF(($A205+4)&gt;$B$11, "", IFERROR((INDEX($F$12:$F$21,MATCH(($A205+4),$E$12:$E$21,1))+(($A205+4)-INDEX($E$12:$E$21,MATCH(($A205+4),$E$12:$E$21,1)))*(IFERROR(INDEX($F$12:$F$21,MATCH(($A205+4),$E$12:$E$21,1)+1),INDEX($F$12:$F$21,MATCH(($A205+4),$E$12:$E$21,1)))-INDEX($F$12:$F$21,MATCH(($A205+4),$E$12:$E$21,1)))/IF((IFERROR(INDEX($E$12:$E$21,MATCH(($A205+4),$E$12:$E$21,1)+1),INDEX($E$12:$E$21,MATCH(($A205+4),$E$12:$E$21,1))+1)-INDEX($E$12:$E$21,MATCH(($A205+4),$E$12:$E$21,1)))=0,1,IFERROR(INDEX($E$12:$E$21,MATCH(($A205+4),$E$12:$E$21,1)+1),INDEX($E$12:$E$21,MATCH(($A205+4),$E$12:$E$21,1))+1)-INDEX($E$12:$E$21,MATCH(($A205+4),$E$12:$E$21,1)))),$F$12))</f>
        <v/>
      </c>
      <c r="G205" s="30" t="str">
        <f>IF(($A205+5)&gt;$B$11, "", IFERROR((INDEX($F$12:$F$21,MATCH(($A205+5),$E$12:$E$21,1))+(($A205+5)-INDEX($E$12:$E$21,MATCH(($A205+5),$E$12:$E$21,1)))*(IFERROR(INDEX($F$12:$F$21,MATCH(($A205+5),$E$12:$E$21,1)+1),INDEX($F$12:$F$21,MATCH(($A205+5),$E$12:$E$21,1)))-INDEX($F$12:$F$21,MATCH(($A205+5),$E$12:$E$21,1)))/IF((IFERROR(INDEX($E$12:$E$21,MATCH(($A205+5),$E$12:$E$21,1)+1),INDEX($E$12:$E$21,MATCH(($A205+5),$E$12:$E$21,1))+1)-INDEX($E$12:$E$21,MATCH(($A205+5),$E$12:$E$21,1)))=0,1,IFERROR(INDEX($E$12:$E$21,MATCH(($A205+5),$E$12:$E$21,1)+1),INDEX($E$12:$E$21,MATCH(($A205+5),$E$12:$E$21,1))+1)-INDEX($E$12:$E$21,MATCH(($A205+5),$E$12:$E$21,1)))),$F$12))</f>
        <v/>
      </c>
      <c r="H205" s="30" t="str">
        <f>IF(($A205+6)&gt;$B$11, "", IFERROR((INDEX($F$12:$F$21,MATCH(($A205+6),$E$12:$E$21,1))+(($A205+6)-INDEX($E$12:$E$21,MATCH(($A205+6),$E$12:$E$21,1)))*(IFERROR(INDEX($F$12:$F$21,MATCH(($A205+6),$E$12:$E$21,1)+1),INDEX($F$12:$F$21,MATCH(($A205+6),$E$12:$E$21,1)))-INDEX($F$12:$F$21,MATCH(($A205+6),$E$12:$E$21,1)))/IF((IFERROR(INDEX($E$12:$E$21,MATCH(($A205+6),$E$12:$E$21,1)+1),INDEX($E$12:$E$21,MATCH(($A205+6),$E$12:$E$21,1))+1)-INDEX($E$12:$E$21,MATCH(($A205+6),$E$12:$E$21,1)))=0,1,IFERROR(INDEX($E$12:$E$21,MATCH(($A205+6),$E$12:$E$21,1)+1),INDEX($E$12:$E$21,MATCH(($A205+6),$E$12:$E$21,1))+1)-INDEX($E$12:$E$21,MATCH(($A205+6),$E$12:$E$21,1)))),$F$12))</f>
        <v/>
      </c>
      <c r="I205" s="30" t="str">
        <f>IF(($A205+7)&gt;$B$11, "", IFERROR((INDEX($F$12:$F$21,MATCH(($A205+7),$E$12:$E$21,1))+(($A205+7)-INDEX($E$12:$E$21,MATCH(($A205+7),$E$12:$E$21,1)))*(IFERROR(INDEX($F$12:$F$21,MATCH(($A205+7),$E$12:$E$21,1)+1),INDEX($F$12:$F$21,MATCH(($A205+7),$E$12:$E$21,1)))-INDEX($F$12:$F$21,MATCH(($A205+7),$E$12:$E$21,1)))/IF((IFERROR(INDEX($E$12:$E$21,MATCH(($A205+7),$E$12:$E$21,1)+1),INDEX($E$12:$E$21,MATCH(($A205+7),$E$12:$E$21,1))+1)-INDEX($E$12:$E$21,MATCH(($A205+7),$E$12:$E$21,1)))=0,1,IFERROR(INDEX($E$12:$E$21,MATCH(($A205+7),$E$12:$E$21,1)+1),INDEX($E$12:$E$21,MATCH(($A205+7),$E$12:$E$21,1))+1)-INDEX($E$12:$E$21,MATCH(($A205+7),$E$12:$E$21,1)))),$F$12))</f>
        <v/>
      </c>
      <c r="J205" s="30" t="str">
        <f>IF(($A205+8)&gt;$B$11, "", IFERROR((INDEX($F$12:$F$21,MATCH(($A205+8),$E$12:$E$21,1))+(($A205+8)-INDEX($E$12:$E$21,MATCH(($A205+8),$E$12:$E$21,1)))*(IFERROR(INDEX($F$12:$F$21,MATCH(($A205+8),$E$12:$E$21,1)+1),INDEX($F$12:$F$21,MATCH(($A205+8),$E$12:$E$21,1)))-INDEX($F$12:$F$21,MATCH(($A205+8),$E$12:$E$21,1)))/IF((IFERROR(INDEX($E$12:$E$21,MATCH(($A205+8),$E$12:$E$21,1)+1),INDEX($E$12:$E$21,MATCH(($A205+8),$E$12:$E$21,1))+1)-INDEX($E$12:$E$21,MATCH(($A205+8),$E$12:$E$21,1)))=0,1,IFERROR(INDEX($E$12:$E$21,MATCH(($A205+8),$E$12:$E$21,1)+1),INDEX($E$12:$E$21,MATCH(($A205+8),$E$12:$E$21,1))+1)-INDEX($E$12:$E$21,MATCH(($A205+8),$E$12:$E$21,1)))),$F$12))</f>
        <v/>
      </c>
      <c r="K205" s="30" t="str">
        <f>IF(($A205+9)&gt;$B$11, "", IFERROR((INDEX($F$12:$F$21,MATCH(($A205+9),$E$12:$E$21,1))+(($A205+9)-INDEX($E$12:$E$21,MATCH(($A205+9),$E$12:$E$21,1)))*(IFERROR(INDEX($F$12:$F$21,MATCH(($A205+9),$E$12:$E$21,1)+1),INDEX($F$12:$F$21,MATCH(($A205+9),$E$12:$E$21,1)))-INDEX($F$12:$F$21,MATCH(($A205+9),$E$12:$E$21,1)))/IF((IFERROR(INDEX($E$12:$E$21,MATCH(($A205+9),$E$12:$E$21,1)+1),INDEX($E$12:$E$21,MATCH(($A205+9),$E$12:$E$21,1))+1)-INDEX($E$12:$E$21,MATCH(($A205+9),$E$12:$E$21,1)))=0,1,IFERROR(INDEX($E$12:$E$21,MATCH(($A205+9),$E$12:$E$21,1)+1),INDEX($E$12:$E$21,MATCH(($A205+9),$E$12:$E$21,1))+1)-INDEX($E$12:$E$21,MATCH(($A205+9),$E$12:$E$21,1)))),$F$12))</f>
        <v/>
      </c>
    </row>
    <row r="206">
      <c r="A206" s="11">
        <v>80</v>
      </c>
      <c r="B206" s="30" t="str">
        <f>IF(($A206+0)&gt;$B$11, "", IFERROR((INDEX($F$12:$F$21,MATCH(($A206+0),$E$12:$E$21,1))+(($A206+0)-INDEX($E$12:$E$21,MATCH(($A206+0),$E$12:$E$21,1)))*(IFERROR(INDEX($F$12:$F$21,MATCH(($A206+0),$E$12:$E$21,1)+1),INDEX($F$12:$F$21,MATCH(($A206+0),$E$12:$E$21,1)))-INDEX($F$12:$F$21,MATCH(($A206+0),$E$12:$E$21,1)))/IF((IFERROR(INDEX($E$12:$E$21,MATCH(($A206+0),$E$12:$E$21,1)+1),INDEX($E$12:$E$21,MATCH(($A206+0),$E$12:$E$21,1))+1)-INDEX($E$12:$E$21,MATCH(($A206+0),$E$12:$E$21,1)))=0,1,IFERROR(INDEX($E$12:$E$21,MATCH(($A206+0),$E$12:$E$21,1)+1),INDEX($E$12:$E$21,MATCH(($A206+0),$E$12:$E$21,1))+1)-INDEX($E$12:$E$21,MATCH(($A206+0),$E$12:$E$21,1)))),$F$12))</f>
        <v/>
      </c>
      <c r="C206" s="30" t="str">
        <f>IF(($A206+1)&gt;$B$11, "", IFERROR((INDEX($F$12:$F$21,MATCH(($A206+1),$E$12:$E$21,1))+(($A206+1)-INDEX($E$12:$E$21,MATCH(($A206+1),$E$12:$E$21,1)))*(IFERROR(INDEX($F$12:$F$21,MATCH(($A206+1),$E$12:$E$21,1)+1),INDEX($F$12:$F$21,MATCH(($A206+1),$E$12:$E$21,1)))-INDEX($F$12:$F$21,MATCH(($A206+1),$E$12:$E$21,1)))/IF((IFERROR(INDEX($E$12:$E$21,MATCH(($A206+1),$E$12:$E$21,1)+1),INDEX($E$12:$E$21,MATCH(($A206+1),$E$12:$E$21,1))+1)-INDEX($E$12:$E$21,MATCH(($A206+1),$E$12:$E$21,1)))=0,1,IFERROR(INDEX($E$12:$E$21,MATCH(($A206+1),$E$12:$E$21,1)+1),INDEX($E$12:$E$21,MATCH(($A206+1),$E$12:$E$21,1))+1)-INDEX($E$12:$E$21,MATCH(($A206+1),$E$12:$E$21,1)))),$F$12))</f>
        <v/>
      </c>
      <c r="D206" s="30" t="str">
        <f>IF(($A206+2)&gt;$B$11, "", IFERROR((INDEX($F$12:$F$21,MATCH(($A206+2),$E$12:$E$21,1))+(($A206+2)-INDEX($E$12:$E$21,MATCH(($A206+2),$E$12:$E$21,1)))*(IFERROR(INDEX($F$12:$F$21,MATCH(($A206+2),$E$12:$E$21,1)+1),INDEX($F$12:$F$21,MATCH(($A206+2),$E$12:$E$21,1)))-INDEX($F$12:$F$21,MATCH(($A206+2),$E$12:$E$21,1)))/IF((IFERROR(INDEX($E$12:$E$21,MATCH(($A206+2),$E$12:$E$21,1)+1),INDEX($E$12:$E$21,MATCH(($A206+2),$E$12:$E$21,1))+1)-INDEX($E$12:$E$21,MATCH(($A206+2),$E$12:$E$21,1)))=0,1,IFERROR(INDEX($E$12:$E$21,MATCH(($A206+2),$E$12:$E$21,1)+1),INDEX($E$12:$E$21,MATCH(($A206+2),$E$12:$E$21,1))+1)-INDEX($E$12:$E$21,MATCH(($A206+2),$E$12:$E$21,1)))),$F$12))</f>
        <v/>
      </c>
      <c r="E206" s="30" t="str">
        <f>IF(($A206+3)&gt;$B$11, "", IFERROR((INDEX($F$12:$F$21,MATCH(($A206+3),$E$12:$E$21,1))+(($A206+3)-INDEX($E$12:$E$21,MATCH(($A206+3),$E$12:$E$21,1)))*(IFERROR(INDEX($F$12:$F$21,MATCH(($A206+3),$E$12:$E$21,1)+1),INDEX($F$12:$F$21,MATCH(($A206+3),$E$12:$E$21,1)))-INDEX($F$12:$F$21,MATCH(($A206+3),$E$12:$E$21,1)))/IF((IFERROR(INDEX($E$12:$E$21,MATCH(($A206+3),$E$12:$E$21,1)+1),INDEX($E$12:$E$21,MATCH(($A206+3),$E$12:$E$21,1))+1)-INDEX($E$12:$E$21,MATCH(($A206+3),$E$12:$E$21,1)))=0,1,IFERROR(INDEX($E$12:$E$21,MATCH(($A206+3),$E$12:$E$21,1)+1),INDEX($E$12:$E$21,MATCH(($A206+3),$E$12:$E$21,1))+1)-INDEX($E$12:$E$21,MATCH(($A206+3),$E$12:$E$21,1)))),$F$12))</f>
        <v/>
      </c>
      <c r="F206" s="30" t="str">
        <f>IF(($A206+4)&gt;$B$11, "", IFERROR((INDEX($F$12:$F$21,MATCH(($A206+4),$E$12:$E$21,1))+(($A206+4)-INDEX($E$12:$E$21,MATCH(($A206+4),$E$12:$E$21,1)))*(IFERROR(INDEX($F$12:$F$21,MATCH(($A206+4),$E$12:$E$21,1)+1),INDEX($F$12:$F$21,MATCH(($A206+4),$E$12:$E$21,1)))-INDEX($F$12:$F$21,MATCH(($A206+4),$E$12:$E$21,1)))/IF((IFERROR(INDEX($E$12:$E$21,MATCH(($A206+4),$E$12:$E$21,1)+1),INDEX($E$12:$E$21,MATCH(($A206+4),$E$12:$E$21,1))+1)-INDEX($E$12:$E$21,MATCH(($A206+4),$E$12:$E$21,1)))=0,1,IFERROR(INDEX($E$12:$E$21,MATCH(($A206+4),$E$12:$E$21,1)+1),INDEX($E$12:$E$21,MATCH(($A206+4),$E$12:$E$21,1))+1)-INDEX($E$12:$E$21,MATCH(($A206+4),$E$12:$E$21,1)))),$F$12))</f>
        <v/>
      </c>
      <c r="G206" s="30" t="str">
        <f>IF(($A206+5)&gt;$B$11, "", IFERROR((INDEX($F$12:$F$21,MATCH(($A206+5),$E$12:$E$21,1))+(($A206+5)-INDEX($E$12:$E$21,MATCH(($A206+5),$E$12:$E$21,1)))*(IFERROR(INDEX($F$12:$F$21,MATCH(($A206+5),$E$12:$E$21,1)+1),INDEX($F$12:$F$21,MATCH(($A206+5),$E$12:$E$21,1)))-INDEX($F$12:$F$21,MATCH(($A206+5),$E$12:$E$21,1)))/IF((IFERROR(INDEX($E$12:$E$21,MATCH(($A206+5),$E$12:$E$21,1)+1),INDEX($E$12:$E$21,MATCH(($A206+5),$E$12:$E$21,1))+1)-INDEX($E$12:$E$21,MATCH(($A206+5),$E$12:$E$21,1)))=0,1,IFERROR(INDEX($E$12:$E$21,MATCH(($A206+5),$E$12:$E$21,1)+1),INDEX($E$12:$E$21,MATCH(($A206+5),$E$12:$E$21,1))+1)-INDEX($E$12:$E$21,MATCH(($A206+5),$E$12:$E$21,1)))),$F$12))</f>
        <v/>
      </c>
      <c r="H206" s="30" t="str">
        <f>IF(($A206+6)&gt;$B$11, "", IFERROR((INDEX($F$12:$F$21,MATCH(($A206+6),$E$12:$E$21,1))+(($A206+6)-INDEX($E$12:$E$21,MATCH(($A206+6),$E$12:$E$21,1)))*(IFERROR(INDEX($F$12:$F$21,MATCH(($A206+6),$E$12:$E$21,1)+1),INDEX($F$12:$F$21,MATCH(($A206+6),$E$12:$E$21,1)))-INDEX($F$12:$F$21,MATCH(($A206+6),$E$12:$E$21,1)))/IF((IFERROR(INDEX($E$12:$E$21,MATCH(($A206+6),$E$12:$E$21,1)+1),INDEX($E$12:$E$21,MATCH(($A206+6),$E$12:$E$21,1))+1)-INDEX($E$12:$E$21,MATCH(($A206+6),$E$12:$E$21,1)))=0,1,IFERROR(INDEX($E$12:$E$21,MATCH(($A206+6),$E$12:$E$21,1)+1),INDEX($E$12:$E$21,MATCH(($A206+6),$E$12:$E$21,1))+1)-INDEX($E$12:$E$21,MATCH(($A206+6),$E$12:$E$21,1)))),$F$12))</f>
        <v/>
      </c>
      <c r="I206" s="30" t="str">
        <f>IF(($A206+7)&gt;$B$11, "", IFERROR((INDEX($F$12:$F$21,MATCH(($A206+7),$E$12:$E$21,1))+(($A206+7)-INDEX($E$12:$E$21,MATCH(($A206+7),$E$12:$E$21,1)))*(IFERROR(INDEX($F$12:$F$21,MATCH(($A206+7),$E$12:$E$21,1)+1),INDEX($F$12:$F$21,MATCH(($A206+7),$E$12:$E$21,1)))-INDEX($F$12:$F$21,MATCH(($A206+7),$E$12:$E$21,1)))/IF((IFERROR(INDEX($E$12:$E$21,MATCH(($A206+7),$E$12:$E$21,1)+1),INDEX($E$12:$E$21,MATCH(($A206+7),$E$12:$E$21,1))+1)-INDEX($E$12:$E$21,MATCH(($A206+7),$E$12:$E$21,1)))=0,1,IFERROR(INDEX($E$12:$E$21,MATCH(($A206+7),$E$12:$E$21,1)+1),INDEX($E$12:$E$21,MATCH(($A206+7),$E$12:$E$21,1))+1)-INDEX($E$12:$E$21,MATCH(($A206+7),$E$12:$E$21,1)))),$F$12))</f>
        <v/>
      </c>
      <c r="J206" s="30" t="str">
        <f>IF(($A206+8)&gt;$B$11, "", IFERROR((INDEX($F$12:$F$21,MATCH(($A206+8),$E$12:$E$21,1))+(($A206+8)-INDEX($E$12:$E$21,MATCH(($A206+8),$E$12:$E$21,1)))*(IFERROR(INDEX($F$12:$F$21,MATCH(($A206+8),$E$12:$E$21,1)+1),INDEX($F$12:$F$21,MATCH(($A206+8),$E$12:$E$21,1)))-INDEX($F$12:$F$21,MATCH(($A206+8),$E$12:$E$21,1)))/IF((IFERROR(INDEX($E$12:$E$21,MATCH(($A206+8),$E$12:$E$21,1)+1),INDEX($E$12:$E$21,MATCH(($A206+8),$E$12:$E$21,1))+1)-INDEX($E$12:$E$21,MATCH(($A206+8),$E$12:$E$21,1)))=0,1,IFERROR(INDEX($E$12:$E$21,MATCH(($A206+8),$E$12:$E$21,1)+1),INDEX($E$12:$E$21,MATCH(($A206+8),$E$12:$E$21,1))+1)-INDEX($E$12:$E$21,MATCH(($A206+8),$E$12:$E$21,1)))),$F$12))</f>
        <v/>
      </c>
      <c r="K206" s="30" t="str">
        <f>IF(($A206+9)&gt;$B$11, "", IFERROR((INDEX($F$12:$F$21,MATCH(($A206+9),$E$12:$E$21,1))+(($A206+9)-INDEX($E$12:$E$21,MATCH(($A206+9),$E$12:$E$21,1)))*(IFERROR(INDEX($F$12:$F$21,MATCH(($A206+9),$E$12:$E$21,1)+1),INDEX($F$12:$F$21,MATCH(($A206+9),$E$12:$E$21,1)))-INDEX($F$12:$F$21,MATCH(($A206+9),$E$12:$E$21,1)))/IF((IFERROR(INDEX($E$12:$E$21,MATCH(($A206+9),$E$12:$E$21,1)+1),INDEX($E$12:$E$21,MATCH(($A206+9),$E$12:$E$21,1))+1)-INDEX($E$12:$E$21,MATCH(($A206+9),$E$12:$E$21,1)))=0,1,IFERROR(INDEX($E$12:$E$21,MATCH(($A206+9),$E$12:$E$21,1)+1),INDEX($E$12:$E$21,MATCH(($A206+9),$E$12:$E$21,1))+1)-INDEX($E$12:$E$21,MATCH(($A206+9),$E$12:$E$21,1)))),$F$12))</f>
        <v/>
      </c>
    </row>
    <row r="207">
      <c r="A207" s="11">
        <v>90</v>
      </c>
      <c r="B207" s="30" t="str">
        <f>IF(($A207+0)&gt;$B$11, "", IFERROR((INDEX($F$12:$F$21,MATCH(($A207+0),$E$12:$E$21,1))+(($A207+0)-INDEX($E$12:$E$21,MATCH(($A207+0),$E$12:$E$21,1)))*(IFERROR(INDEX($F$12:$F$21,MATCH(($A207+0),$E$12:$E$21,1)+1),INDEX($F$12:$F$21,MATCH(($A207+0),$E$12:$E$21,1)))-INDEX($F$12:$F$21,MATCH(($A207+0),$E$12:$E$21,1)))/IF((IFERROR(INDEX($E$12:$E$21,MATCH(($A207+0),$E$12:$E$21,1)+1),INDEX($E$12:$E$21,MATCH(($A207+0),$E$12:$E$21,1))+1)-INDEX($E$12:$E$21,MATCH(($A207+0),$E$12:$E$21,1)))=0,1,IFERROR(INDEX($E$12:$E$21,MATCH(($A207+0),$E$12:$E$21,1)+1),INDEX($E$12:$E$21,MATCH(($A207+0),$E$12:$E$21,1))+1)-INDEX($E$12:$E$21,MATCH(($A207+0),$E$12:$E$21,1)))),$F$12))</f>
        <v/>
      </c>
      <c r="C207" s="30" t="str">
        <f>IF(($A207+1)&gt;$B$11, "", IFERROR((INDEX($F$12:$F$21,MATCH(($A207+1),$E$12:$E$21,1))+(($A207+1)-INDEX($E$12:$E$21,MATCH(($A207+1),$E$12:$E$21,1)))*(IFERROR(INDEX($F$12:$F$21,MATCH(($A207+1),$E$12:$E$21,1)+1),INDEX($F$12:$F$21,MATCH(($A207+1),$E$12:$E$21,1)))-INDEX($F$12:$F$21,MATCH(($A207+1),$E$12:$E$21,1)))/IF((IFERROR(INDEX($E$12:$E$21,MATCH(($A207+1),$E$12:$E$21,1)+1),INDEX($E$12:$E$21,MATCH(($A207+1),$E$12:$E$21,1))+1)-INDEX($E$12:$E$21,MATCH(($A207+1),$E$12:$E$21,1)))=0,1,IFERROR(INDEX($E$12:$E$21,MATCH(($A207+1),$E$12:$E$21,1)+1),INDEX($E$12:$E$21,MATCH(($A207+1),$E$12:$E$21,1))+1)-INDEX($E$12:$E$21,MATCH(($A207+1),$E$12:$E$21,1)))),$F$12))</f>
        <v/>
      </c>
      <c r="D207" s="30" t="str">
        <f>IF(($A207+2)&gt;$B$11, "", IFERROR((INDEX($F$12:$F$21,MATCH(($A207+2),$E$12:$E$21,1))+(($A207+2)-INDEX($E$12:$E$21,MATCH(($A207+2),$E$12:$E$21,1)))*(IFERROR(INDEX($F$12:$F$21,MATCH(($A207+2),$E$12:$E$21,1)+1),INDEX($F$12:$F$21,MATCH(($A207+2),$E$12:$E$21,1)))-INDEX($F$12:$F$21,MATCH(($A207+2),$E$12:$E$21,1)))/IF((IFERROR(INDEX($E$12:$E$21,MATCH(($A207+2),$E$12:$E$21,1)+1),INDEX($E$12:$E$21,MATCH(($A207+2),$E$12:$E$21,1))+1)-INDEX($E$12:$E$21,MATCH(($A207+2),$E$12:$E$21,1)))=0,1,IFERROR(INDEX($E$12:$E$21,MATCH(($A207+2),$E$12:$E$21,1)+1),INDEX($E$12:$E$21,MATCH(($A207+2),$E$12:$E$21,1))+1)-INDEX($E$12:$E$21,MATCH(($A207+2),$E$12:$E$21,1)))),$F$12))</f>
        <v/>
      </c>
      <c r="E207" s="30" t="str">
        <f>IF(($A207+3)&gt;$B$11, "", IFERROR((INDEX($F$12:$F$21,MATCH(($A207+3),$E$12:$E$21,1))+(($A207+3)-INDEX($E$12:$E$21,MATCH(($A207+3),$E$12:$E$21,1)))*(IFERROR(INDEX($F$12:$F$21,MATCH(($A207+3),$E$12:$E$21,1)+1),INDEX($F$12:$F$21,MATCH(($A207+3),$E$12:$E$21,1)))-INDEX($F$12:$F$21,MATCH(($A207+3),$E$12:$E$21,1)))/IF((IFERROR(INDEX($E$12:$E$21,MATCH(($A207+3),$E$12:$E$21,1)+1),INDEX($E$12:$E$21,MATCH(($A207+3),$E$12:$E$21,1))+1)-INDEX($E$12:$E$21,MATCH(($A207+3),$E$12:$E$21,1)))=0,1,IFERROR(INDEX($E$12:$E$21,MATCH(($A207+3),$E$12:$E$21,1)+1),INDEX($E$12:$E$21,MATCH(($A207+3),$E$12:$E$21,1))+1)-INDEX($E$12:$E$21,MATCH(($A207+3),$E$12:$E$21,1)))),$F$12))</f>
        <v/>
      </c>
      <c r="F207" s="30" t="str">
        <f>IF(($A207+4)&gt;$B$11, "", IFERROR((INDEX($F$12:$F$21,MATCH(($A207+4),$E$12:$E$21,1))+(($A207+4)-INDEX($E$12:$E$21,MATCH(($A207+4),$E$12:$E$21,1)))*(IFERROR(INDEX($F$12:$F$21,MATCH(($A207+4),$E$12:$E$21,1)+1),INDEX($F$12:$F$21,MATCH(($A207+4),$E$12:$E$21,1)))-INDEX($F$12:$F$21,MATCH(($A207+4),$E$12:$E$21,1)))/IF((IFERROR(INDEX($E$12:$E$21,MATCH(($A207+4),$E$12:$E$21,1)+1),INDEX($E$12:$E$21,MATCH(($A207+4),$E$12:$E$21,1))+1)-INDEX($E$12:$E$21,MATCH(($A207+4),$E$12:$E$21,1)))=0,1,IFERROR(INDEX($E$12:$E$21,MATCH(($A207+4),$E$12:$E$21,1)+1),INDEX($E$12:$E$21,MATCH(($A207+4),$E$12:$E$21,1))+1)-INDEX($E$12:$E$21,MATCH(($A207+4),$E$12:$E$21,1)))),$F$12))</f>
        <v/>
      </c>
      <c r="G207" s="30" t="str">
        <f>IF(($A207+5)&gt;$B$11, "", IFERROR((INDEX($F$12:$F$21,MATCH(($A207+5),$E$12:$E$21,1))+(($A207+5)-INDEX($E$12:$E$21,MATCH(($A207+5),$E$12:$E$21,1)))*(IFERROR(INDEX($F$12:$F$21,MATCH(($A207+5),$E$12:$E$21,1)+1),INDEX($F$12:$F$21,MATCH(($A207+5),$E$12:$E$21,1)))-INDEX($F$12:$F$21,MATCH(($A207+5),$E$12:$E$21,1)))/IF((IFERROR(INDEX($E$12:$E$21,MATCH(($A207+5),$E$12:$E$21,1)+1),INDEX($E$12:$E$21,MATCH(($A207+5),$E$12:$E$21,1))+1)-INDEX($E$12:$E$21,MATCH(($A207+5),$E$12:$E$21,1)))=0,1,IFERROR(INDEX($E$12:$E$21,MATCH(($A207+5),$E$12:$E$21,1)+1),INDEX($E$12:$E$21,MATCH(($A207+5),$E$12:$E$21,1))+1)-INDEX($E$12:$E$21,MATCH(($A207+5),$E$12:$E$21,1)))),$F$12))</f>
        <v/>
      </c>
      <c r="H207" s="30" t="str">
        <f>IF(($A207+6)&gt;$B$11, "", IFERROR((INDEX($F$12:$F$21,MATCH(($A207+6),$E$12:$E$21,1))+(($A207+6)-INDEX($E$12:$E$21,MATCH(($A207+6),$E$12:$E$21,1)))*(IFERROR(INDEX($F$12:$F$21,MATCH(($A207+6),$E$12:$E$21,1)+1),INDEX($F$12:$F$21,MATCH(($A207+6),$E$12:$E$21,1)))-INDEX($F$12:$F$21,MATCH(($A207+6),$E$12:$E$21,1)))/IF((IFERROR(INDEX($E$12:$E$21,MATCH(($A207+6),$E$12:$E$21,1)+1),INDEX($E$12:$E$21,MATCH(($A207+6),$E$12:$E$21,1))+1)-INDEX($E$12:$E$21,MATCH(($A207+6),$E$12:$E$21,1)))=0,1,IFERROR(INDEX($E$12:$E$21,MATCH(($A207+6),$E$12:$E$21,1)+1),INDEX($E$12:$E$21,MATCH(($A207+6),$E$12:$E$21,1))+1)-INDEX($E$12:$E$21,MATCH(($A207+6),$E$12:$E$21,1)))),$F$12))</f>
        <v/>
      </c>
      <c r="I207" s="30" t="str">
        <f>IF(($A207+7)&gt;$B$11, "", IFERROR((INDEX($F$12:$F$21,MATCH(($A207+7),$E$12:$E$21,1))+(($A207+7)-INDEX($E$12:$E$21,MATCH(($A207+7),$E$12:$E$21,1)))*(IFERROR(INDEX($F$12:$F$21,MATCH(($A207+7),$E$12:$E$21,1)+1),INDEX($F$12:$F$21,MATCH(($A207+7),$E$12:$E$21,1)))-INDEX($F$12:$F$21,MATCH(($A207+7),$E$12:$E$21,1)))/IF((IFERROR(INDEX($E$12:$E$21,MATCH(($A207+7),$E$12:$E$21,1)+1),INDEX($E$12:$E$21,MATCH(($A207+7),$E$12:$E$21,1))+1)-INDEX($E$12:$E$21,MATCH(($A207+7),$E$12:$E$21,1)))=0,1,IFERROR(INDEX($E$12:$E$21,MATCH(($A207+7),$E$12:$E$21,1)+1),INDEX($E$12:$E$21,MATCH(($A207+7),$E$12:$E$21,1))+1)-INDEX($E$12:$E$21,MATCH(($A207+7),$E$12:$E$21,1)))),$F$12))</f>
        <v/>
      </c>
      <c r="J207" s="30" t="str">
        <f>IF(($A207+8)&gt;$B$11, "", IFERROR((INDEX($F$12:$F$21,MATCH(($A207+8),$E$12:$E$21,1))+(($A207+8)-INDEX($E$12:$E$21,MATCH(($A207+8),$E$12:$E$21,1)))*(IFERROR(INDEX($F$12:$F$21,MATCH(($A207+8),$E$12:$E$21,1)+1),INDEX($F$12:$F$21,MATCH(($A207+8),$E$12:$E$21,1)))-INDEX($F$12:$F$21,MATCH(($A207+8),$E$12:$E$21,1)))/IF((IFERROR(INDEX($E$12:$E$21,MATCH(($A207+8),$E$12:$E$21,1)+1),INDEX($E$12:$E$21,MATCH(($A207+8),$E$12:$E$21,1))+1)-INDEX($E$12:$E$21,MATCH(($A207+8),$E$12:$E$21,1)))=0,1,IFERROR(INDEX($E$12:$E$21,MATCH(($A207+8),$E$12:$E$21,1)+1),INDEX($E$12:$E$21,MATCH(($A207+8),$E$12:$E$21,1))+1)-INDEX($E$12:$E$21,MATCH(($A207+8),$E$12:$E$21,1)))),$F$12))</f>
        <v/>
      </c>
      <c r="K207" s="30" t="str">
        <f>IF(($A207+9)&gt;$B$11, "", IFERROR((INDEX($F$12:$F$21,MATCH(($A207+9),$E$12:$E$21,1))+(($A207+9)-INDEX($E$12:$E$21,MATCH(($A207+9),$E$12:$E$21,1)))*(IFERROR(INDEX($F$12:$F$21,MATCH(($A207+9),$E$12:$E$21,1)+1),INDEX($F$12:$F$21,MATCH(($A207+9),$E$12:$E$21,1)))-INDEX($F$12:$F$21,MATCH(($A207+9),$E$12:$E$21,1)))/IF((IFERROR(INDEX($E$12:$E$21,MATCH(($A207+9),$E$12:$E$21,1)+1),INDEX($E$12:$E$21,MATCH(($A207+9),$E$12:$E$21,1))+1)-INDEX($E$12:$E$21,MATCH(($A207+9),$E$12:$E$21,1)))=0,1,IFERROR(INDEX($E$12:$E$21,MATCH(($A207+9),$E$12:$E$21,1)+1),INDEX($E$12:$E$21,MATCH(($A207+9),$E$12:$E$21,1))+1)-INDEX($E$12:$E$21,MATCH(($A207+9),$E$12:$E$21,1)))),$F$12))</f>
        <v/>
      </c>
    </row>
    <row r="208">
      <c r="A208" s="11">
        <v>100</v>
      </c>
      <c r="B208" s="30" t="str">
        <f>IF(($A208+0)&gt;$B$11, "", IFERROR((INDEX($F$12:$F$21,MATCH(($A208+0),$E$12:$E$21,1))+(($A208+0)-INDEX($E$12:$E$21,MATCH(($A208+0),$E$12:$E$21,1)))*(IFERROR(INDEX($F$12:$F$21,MATCH(($A208+0),$E$12:$E$21,1)+1),INDEX($F$12:$F$21,MATCH(($A208+0),$E$12:$E$21,1)))-INDEX($F$12:$F$21,MATCH(($A208+0),$E$12:$E$21,1)))/IF((IFERROR(INDEX($E$12:$E$21,MATCH(($A208+0),$E$12:$E$21,1)+1),INDEX($E$12:$E$21,MATCH(($A208+0),$E$12:$E$21,1))+1)-INDEX($E$12:$E$21,MATCH(($A208+0),$E$12:$E$21,1)))=0,1,IFERROR(INDEX($E$12:$E$21,MATCH(($A208+0),$E$12:$E$21,1)+1),INDEX($E$12:$E$21,MATCH(($A208+0),$E$12:$E$21,1))+1)-INDEX($E$12:$E$21,MATCH(($A208+0),$E$12:$E$21,1)))),$F$12))</f>
        <v/>
      </c>
      <c r="C208" s="30" t="str">
        <f>IF(($A208+1)&gt;$B$11, "", IFERROR((INDEX($F$12:$F$21,MATCH(($A208+1),$E$12:$E$21,1))+(($A208+1)-INDEX($E$12:$E$21,MATCH(($A208+1),$E$12:$E$21,1)))*(IFERROR(INDEX($F$12:$F$21,MATCH(($A208+1),$E$12:$E$21,1)+1),INDEX($F$12:$F$21,MATCH(($A208+1),$E$12:$E$21,1)))-INDEX($F$12:$F$21,MATCH(($A208+1),$E$12:$E$21,1)))/IF((IFERROR(INDEX($E$12:$E$21,MATCH(($A208+1),$E$12:$E$21,1)+1),INDEX($E$12:$E$21,MATCH(($A208+1),$E$12:$E$21,1))+1)-INDEX($E$12:$E$21,MATCH(($A208+1),$E$12:$E$21,1)))=0,1,IFERROR(INDEX($E$12:$E$21,MATCH(($A208+1),$E$12:$E$21,1)+1),INDEX($E$12:$E$21,MATCH(($A208+1),$E$12:$E$21,1))+1)-INDEX($E$12:$E$21,MATCH(($A208+1),$E$12:$E$21,1)))),$F$12))</f>
        <v/>
      </c>
      <c r="D208" s="30" t="str">
        <f>IF(($A208+2)&gt;$B$11, "", IFERROR((INDEX($F$12:$F$21,MATCH(($A208+2),$E$12:$E$21,1))+(($A208+2)-INDEX($E$12:$E$21,MATCH(($A208+2),$E$12:$E$21,1)))*(IFERROR(INDEX($F$12:$F$21,MATCH(($A208+2),$E$12:$E$21,1)+1),INDEX($F$12:$F$21,MATCH(($A208+2),$E$12:$E$21,1)))-INDEX($F$12:$F$21,MATCH(($A208+2),$E$12:$E$21,1)))/IF((IFERROR(INDEX($E$12:$E$21,MATCH(($A208+2),$E$12:$E$21,1)+1),INDEX($E$12:$E$21,MATCH(($A208+2),$E$12:$E$21,1))+1)-INDEX($E$12:$E$21,MATCH(($A208+2),$E$12:$E$21,1)))=0,1,IFERROR(INDEX($E$12:$E$21,MATCH(($A208+2),$E$12:$E$21,1)+1),INDEX($E$12:$E$21,MATCH(($A208+2),$E$12:$E$21,1))+1)-INDEX($E$12:$E$21,MATCH(($A208+2),$E$12:$E$21,1)))),$F$12))</f>
        <v/>
      </c>
      <c r="E208" s="30" t="str">
        <f>IF(($A208+3)&gt;$B$11, "", IFERROR((INDEX($F$12:$F$21,MATCH(($A208+3),$E$12:$E$21,1))+(($A208+3)-INDEX($E$12:$E$21,MATCH(($A208+3),$E$12:$E$21,1)))*(IFERROR(INDEX($F$12:$F$21,MATCH(($A208+3),$E$12:$E$21,1)+1),INDEX($F$12:$F$21,MATCH(($A208+3),$E$12:$E$21,1)))-INDEX($F$12:$F$21,MATCH(($A208+3),$E$12:$E$21,1)))/IF((IFERROR(INDEX($E$12:$E$21,MATCH(($A208+3),$E$12:$E$21,1)+1),INDEX($E$12:$E$21,MATCH(($A208+3),$E$12:$E$21,1))+1)-INDEX($E$12:$E$21,MATCH(($A208+3),$E$12:$E$21,1)))=0,1,IFERROR(INDEX($E$12:$E$21,MATCH(($A208+3),$E$12:$E$21,1)+1),INDEX($E$12:$E$21,MATCH(($A208+3),$E$12:$E$21,1))+1)-INDEX($E$12:$E$21,MATCH(($A208+3),$E$12:$E$21,1)))),$F$12))</f>
        <v/>
      </c>
      <c r="F208" s="30" t="str">
        <f>IF(($A208+4)&gt;$B$11, "", IFERROR((INDEX($F$12:$F$21,MATCH(($A208+4),$E$12:$E$21,1))+(($A208+4)-INDEX($E$12:$E$21,MATCH(($A208+4),$E$12:$E$21,1)))*(IFERROR(INDEX($F$12:$F$21,MATCH(($A208+4),$E$12:$E$21,1)+1),INDEX($F$12:$F$21,MATCH(($A208+4),$E$12:$E$21,1)))-INDEX($F$12:$F$21,MATCH(($A208+4),$E$12:$E$21,1)))/IF((IFERROR(INDEX($E$12:$E$21,MATCH(($A208+4),$E$12:$E$21,1)+1),INDEX($E$12:$E$21,MATCH(($A208+4),$E$12:$E$21,1))+1)-INDEX($E$12:$E$21,MATCH(($A208+4),$E$12:$E$21,1)))=0,1,IFERROR(INDEX($E$12:$E$21,MATCH(($A208+4),$E$12:$E$21,1)+1),INDEX($E$12:$E$21,MATCH(($A208+4),$E$12:$E$21,1))+1)-INDEX($E$12:$E$21,MATCH(($A208+4),$E$12:$E$21,1)))),$F$12))</f>
        <v/>
      </c>
      <c r="G208" s="30" t="str">
        <f>IF(($A208+5)&gt;$B$11, "", IFERROR((INDEX($F$12:$F$21,MATCH(($A208+5),$E$12:$E$21,1))+(($A208+5)-INDEX($E$12:$E$21,MATCH(($A208+5),$E$12:$E$21,1)))*(IFERROR(INDEX($F$12:$F$21,MATCH(($A208+5),$E$12:$E$21,1)+1),INDEX($F$12:$F$21,MATCH(($A208+5),$E$12:$E$21,1)))-INDEX($F$12:$F$21,MATCH(($A208+5),$E$12:$E$21,1)))/IF((IFERROR(INDEX($E$12:$E$21,MATCH(($A208+5),$E$12:$E$21,1)+1),INDEX($E$12:$E$21,MATCH(($A208+5),$E$12:$E$21,1))+1)-INDEX($E$12:$E$21,MATCH(($A208+5),$E$12:$E$21,1)))=0,1,IFERROR(INDEX($E$12:$E$21,MATCH(($A208+5),$E$12:$E$21,1)+1),INDEX($E$12:$E$21,MATCH(($A208+5),$E$12:$E$21,1))+1)-INDEX($E$12:$E$21,MATCH(($A208+5),$E$12:$E$21,1)))),$F$12))</f>
        <v/>
      </c>
      <c r="H208" s="30" t="str">
        <f>IF(($A208+6)&gt;$B$11, "", IFERROR((INDEX($F$12:$F$21,MATCH(($A208+6),$E$12:$E$21,1))+(($A208+6)-INDEX($E$12:$E$21,MATCH(($A208+6),$E$12:$E$21,1)))*(IFERROR(INDEX($F$12:$F$21,MATCH(($A208+6),$E$12:$E$21,1)+1),INDEX($F$12:$F$21,MATCH(($A208+6),$E$12:$E$21,1)))-INDEX($F$12:$F$21,MATCH(($A208+6),$E$12:$E$21,1)))/IF((IFERROR(INDEX($E$12:$E$21,MATCH(($A208+6),$E$12:$E$21,1)+1),INDEX($E$12:$E$21,MATCH(($A208+6),$E$12:$E$21,1))+1)-INDEX($E$12:$E$21,MATCH(($A208+6),$E$12:$E$21,1)))=0,1,IFERROR(INDEX($E$12:$E$21,MATCH(($A208+6),$E$12:$E$21,1)+1),INDEX($E$12:$E$21,MATCH(($A208+6),$E$12:$E$21,1))+1)-INDEX($E$12:$E$21,MATCH(($A208+6),$E$12:$E$21,1)))),$F$12))</f>
        <v/>
      </c>
      <c r="I208" s="30" t="str">
        <f>IF(($A208+7)&gt;$B$11, "", IFERROR((INDEX($F$12:$F$21,MATCH(($A208+7),$E$12:$E$21,1))+(($A208+7)-INDEX($E$12:$E$21,MATCH(($A208+7),$E$12:$E$21,1)))*(IFERROR(INDEX($F$12:$F$21,MATCH(($A208+7),$E$12:$E$21,1)+1),INDEX($F$12:$F$21,MATCH(($A208+7),$E$12:$E$21,1)))-INDEX($F$12:$F$21,MATCH(($A208+7),$E$12:$E$21,1)))/IF((IFERROR(INDEX($E$12:$E$21,MATCH(($A208+7),$E$12:$E$21,1)+1),INDEX($E$12:$E$21,MATCH(($A208+7),$E$12:$E$21,1))+1)-INDEX($E$12:$E$21,MATCH(($A208+7),$E$12:$E$21,1)))=0,1,IFERROR(INDEX($E$12:$E$21,MATCH(($A208+7),$E$12:$E$21,1)+1),INDEX($E$12:$E$21,MATCH(($A208+7),$E$12:$E$21,1))+1)-INDEX($E$12:$E$21,MATCH(($A208+7),$E$12:$E$21,1)))),$F$12))</f>
        <v/>
      </c>
      <c r="J208" s="30" t="str">
        <f>IF(($A208+8)&gt;$B$11, "", IFERROR((INDEX($F$12:$F$21,MATCH(($A208+8),$E$12:$E$21,1))+(($A208+8)-INDEX($E$12:$E$21,MATCH(($A208+8),$E$12:$E$21,1)))*(IFERROR(INDEX($F$12:$F$21,MATCH(($A208+8),$E$12:$E$21,1)+1),INDEX($F$12:$F$21,MATCH(($A208+8),$E$12:$E$21,1)))-INDEX($F$12:$F$21,MATCH(($A208+8),$E$12:$E$21,1)))/IF((IFERROR(INDEX($E$12:$E$21,MATCH(($A208+8),$E$12:$E$21,1)+1),INDEX($E$12:$E$21,MATCH(($A208+8),$E$12:$E$21,1))+1)-INDEX($E$12:$E$21,MATCH(($A208+8),$E$12:$E$21,1)))=0,1,IFERROR(INDEX($E$12:$E$21,MATCH(($A208+8),$E$12:$E$21,1)+1),INDEX($E$12:$E$21,MATCH(($A208+8),$E$12:$E$21,1))+1)-INDEX($E$12:$E$21,MATCH(($A208+8),$E$12:$E$21,1)))),$F$12))</f>
        <v/>
      </c>
      <c r="K208" s="30" t="str">
        <f>IF(($A208+9)&gt;$B$11, "", IFERROR((INDEX($F$12:$F$21,MATCH(($A208+9),$E$12:$E$21,1))+(($A208+9)-INDEX($E$12:$E$21,MATCH(($A208+9),$E$12:$E$21,1)))*(IFERROR(INDEX($F$12:$F$21,MATCH(($A208+9),$E$12:$E$21,1)+1),INDEX($F$12:$F$21,MATCH(($A208+9),$E$12:$E$21,1)))-INDEX($F$12:$F$21,MATCH(($A208+9),$E$12:$E$21,1)))/IF((IFERROR(INDEX($E$12:$E$21,MATCH(($A208+9),$E$12:$E$21,1)+1),INDEX($E$12:$E$21,MATCH(($A208+9),$E$12:$E$21,1))+1)-INDEX($E$12:$E$21,MATCH(($A208+9),$E$12:$E$21,1)))=0,1,IFERROR(INDEX($E$12:$E$21,MATCH(($A208+9),$E$12:$E$21,1)+1),INDEX($E$12:$E$21,MATCH(($A208+9),$E$12:$E$21,1))+1)-INDEX($E$12:$E$21,MATCH(($A208+9),$E$12:$E$21,1)))),$F$12))</f>
        <v/>
      </c>
    </row>
    <row r="209">
      <c r="A209" s="11">
        <v>110</v>
      </c>
      <c r="B209" s="30" t="str">
        <f>IF(($A209+0)&gt;$B$11, "", IFERROR((INDEX($F$12:$F$21,MATCH(($A209+0),$E$12:$E$21,1))+(($A209+0)-INDEX($E$12:$E$21,MATCH(($A209+0),$E$12:$E$21,1)))*(IFERROR(INDEX($F$12:$F$21,MATCH(($A209+0),$E$12:$E$21,1)+1),INDEX($F$12:$F$21,MATCH(($A209+0),$E$12:$E$21,1)))-INDEX($F$12:$F$21,MATCH(($A209+0),$E$12:$E$21,1)))/IF((IFERROR(INDEX($E$12:$E$21,MATCH(($A209+0),$E$12:$E$21,1)+1),INDEX($E$12:$E$21,MATCH(($A209+0),$E$12:$E$21,1))+1)-INDEX($E$12:$E$21,MATCH(($A209+0),$E$12:$E$21,1)))=0,1,IFERROR(INDEX($E$12:$E$21,MATCH(($A209+0),$E$12:$E$21,1)+1),INDEX($E$12:$E$21,MATCH(($A209+0),$E$12:$E$21,1))+1)-INDEX($E$12:$E$21,MATCH(($A209+0),$E$12:$E$21,1)))),$F$12))</f>
        <v/>
      </c>
      <c r="C209" s="30" t="str">
        <f>IF(($A209+1)&gt;$B$11, "", IFERROR((INDEX($F$12:$F$21,MATCH(($A209+1),$E$12:$E$21,1))+(($A209+1)-INDEX($E$12:$E$21,MATCH(($A209+1),$E$12:$E$21,1)))*(IFERROR(INDEX($F$12:$F$21,MATCH(($A209+1),$E$12:$E$21,1)+1),INDEX($F$12:$F$21,MATCH(($A209+1),$E$12:$E$21,1)))-INDEX($F$12:$F$21,MATCH(($A209+1),$E$12:$E$21,1)))/IF((IFERROR(INDEX($E$12:$E$21,MATCH(($A209+1),$E$12:$E$21,1)+1),INDEX($E$12:$E$21,MATCH(($A209+1),$E$12:$E$21,1))+1)-INDEX($E$12:$E$21,MATCH(($A209+1),$E$12:$E$21,1)))=0,1,IFERROR(INDEX($E$12:$E$21,MATCH(($A209+1),$E$12:$E$21,1)+1),INDEX($E$12:$E$21,MATCH(($A209+1),$E$12:$E$21,1))+1)-INDEX($E$12:$E$21,MATCH(($A209+1),$E$12:$E$21,1)))),$F$12))</f>
        <v/>
      </c>
      <c r="D209" s="30" t="str">
        <f>IF(($A209+2)&gt;$B$11, "", IFERROR((INDEX($F$12:$F$21,MATCH(($A209+2),$E$12:$E$21,1))+(($A209+2)-INDEX($E$12:$E$21,MATCH(($A209+2),$E$12:$E$21,1)))*(IFERROR(INDEX($F$12:$F$21,MATCH(($A209+2),$E$12:$E$21,1)+1),INDEX($F$12:$F$21,MATCH(($A209+2),$E$12:$E$21,1)))-INDEX($F$12:$F$21,MATCH(($A209+2),$E$12:$E$21,1)))/IF((IFERROR(INDEX($E$12:$E$21,MATCH(($A209+2),$E$12:$E$21,1)+1),INDEX($E$12:$E$21,MATCH(($A209+2),$E$12:$E$21,1))+1)-INDEX($E$12:$E$21,MATCH(($A209+2),$E$12:$E$21,1)))=0,1,IFERROR(INDEX($E$12:$E$21,MATCH(($A209+2),$E$12:$E$21,1)+1),INDEX($E$12:$E$21,MATCH(($A209+2),$E$12:$E$21,1))+1)-INDEX($E$12:$E$21,MATCH(($A209+2),$E$12:$E$21,1)))),$F$12))</f>
        <v/>
      </c>
      <c r="E209" s="30" t="str">
        <f>IF(($A209+3)&gt;$B$11, "", IFERROR((INDEX($F$12:$F$21,MATCH(($A209+3),$E$12:$E$21,1))+(($A209+3)-INDEX($E$12:$E$21,MATCH(($A209+3),$E$12:$E$21,1)))*(IFERROR(INDEX($F$12:$F$21,MATCH(($A209+3),$E$12:$E$21,1)+1),INDEX($F$12:$F$21,MATCH(($A209+3),$E$12:$E$21,1)))-INDEX($F$12:$F$21,MATCH(($A209+3),$E$12:$E$21,1)))/IF((IFERROR(INDEX($E$12:$E$21,MATCH(($A209+3),$E$12:$E$21,1)+1),INDEX($E$12:$E$21,MATCH(($A209+3),$E$12:$E$21,1))+1)-INDEX($E$12:$E$21,MATCH(($A209+3),$E$12:$E$21,1)))=0,1,IFERROR(INDEX($E$12:$E$21,MATCH(($A209+3),$E$12:$E$21,1)+1),INDEX($E$12:$E$21,MATCH(($A209+3),$E$12:$E$21,1))+1)-INDEX($E$12:$E$21,MATCH(($A209+3),$E$12:$E$21,1)))),$F$12))</f>
        <v/>
      </c>
      <c r="F209" s="30" t="str">
        <f>IF(($A209+4)&gt;$B$11, "", IFERROR((INDEX($F$12:$F$21,MATCH(($A209+4),$E$12:$E$21,1))+(($A209+4)-INDEX($E$12:$E$21,MATCH(($A209+4),$E$12:$E$21,1)))*(IFERROR(INDEX($F$12:$F$21,MATCH(($A209+4),$E$12:$E$21,1)+1),INDEX($F$12:$F$21,MATCH(($A209+4),$E$12:$E$21,1)))-INDEX($F$12:$F$21,MATCH(($A209+4),$E$12:$E$21,1)))/IF((IFERROR(INDEX($E$12:$E$21,MATCH(($A209+4),$E$12:$E$21,1)+1),INDEX($E$12:$E$21,MATCH(($A209+4),$E$12:$E$21,1))+1)-INDEX($E$12:$E$21,MATCH(($A209+4),$E$12:$E$21,1)))=0,1,IFERROR(INDEX($E$12:$E$21,MATCH(($A209+4),$E$12:$E$21,1)+1),INDEX($E$12:$E$21,MATCH(($A209+4),$E$12:$E$21,1))+1)-INDEX($E$12:$E$21,MATCH(($A209+4),$E$12:$E$21,1)))),$F$12))</f>
        <v/>
      </c>
      <c r="G209" s="30" t="str">
        <f>IF(($A209+5)&gt;$B$11, "", IFERROR((INDEX($F$12:$F$21,MATCH(($A209+5),$E$12:$E$21,1))+(($A209+5)-INDEX($E$12:$E$21,MATCH(($A209+5),$E$12:$E$21,1)))*(IFERROR(INDEX($F$12:$F$21,MATCH(($A209+5),$E$12:$E$21,1)+1),INDEX($F$12:$F$21,MATCH(($A209+5),$E$12:$E$21,1)))-INDEX($F$12:$F$21,MATCH(($A209+5),$E$12:$E$21,1)))/IF((IFERROR(INDEX($E$12:$E$21,MATCH(($A209+5),$E$12:$E$21,1)+1),INDEX($E$12:$E$21,MATCH(($A209+5),$E$12:$E$21,1))+1)-INDEX($E$12:$E$21,MATCH(($A209+5),$E$12:$E$21,1)))=0,1,IFERROR(INDEX($E$12:$E$21,MATCH(($A209+5),$E$12:$E$21,1)+1),INDEX($E$12:$E$21,MATCH(($A209+5),$E$12:$E$21,1))+1)-INDEX($E$12:$E$21,MATCH(($A209+5),$E$12:$E$21,1)))),$F$12))</f>
        <v/>
      </c>
      <c r="H209" s="30" t="str">
        <f>IF(($A209+6)&gt;$B$11, "", IFERROR((INDEX($F$12:$F$21,MATCH(($A209+6),$E$12:$E$21,1))+(($A209+6)-INDEX($E$12:$E$21,MATCH(($A209+6),$E$12:$E$21,1)))*(IFERROR(INDEX($F$12:$F$21,MATCH(($A209+6),$E$12:$E$21,1)+1),INDEX($F$12:$F$21,MATCH(($A209+6),$E$12:$E$21,1)))-INDEX($F$12:$F$21,MATCH(($A209+6),$E$12:$E$21,1)))/IF((IFERROR(INDEX($E$12:$E$21,MATCH(($A209+6),$E$12:$E$21,1)+1),INDEX($E$12:$E$21,MATCH(($A209+6),$E$12:$E$21,1))+1)-INDEX($E$12:$E$21,MATCH(($A209+6),$E$12:$E$21,1)))=0,1,IFERROR(INDEX($E$12:$E$21,MATCH(($A209+6),$E$12:$E$21,1)+1),INDEX($E$12:$E$21,MATCH(($A209+6),$E$12:$E$21,1))+1)-INDEX($E$12:$E$21,MATCH(($A209+6),$E$12:$E$21,1)))),$F$12))</f>
        <v/>
      </c>
      <c r="I209" s="30" t="str">
        <f>IF(($A209+7)&gt;$B$11, "", IFERROR((INDEX($F$12:$F$21,MATCH(($A209+7),$E$12:$E$21,1))+(($A209+7)-INDEX($E$12:$E$21,MATCH(($A209+7),$E$12:$E$21,1)))*(IFERROR(INDEX($F$12:$F$21,MATCH(($A209+7),$E$12:$E$21,1)+1),INDEX($F$12:$F$21,MATCH(($A209+7),$E$12:$E$21,1)))-INDEX($F$12:$F$21,MATCH(($A209+7),$E$12:$E$21,1)))/IF((IFERROR(INDEX($E$12:$E$21,MATCH(($A209+7),$E$12:$E$21,1)+1),INDEX($E$12:$E$21,MATCH(($A209+7),$E$12:$E$21,1))+1)-INDEX($E$12:$E$21,MATCH(($A209+7),$E$12:$E$21,1)))=0,1,IFERROR(INDEX($E$12:$E$21,MATCH(($A209+7),$E$12:$E$21,1)+1),INDEX($E$12:$E$21,MATCH(($A209+7),$E$12:$E$21,1))+1)-INDEX($E$12:$E$21,MATCH(($A209+7),$E$12:$E$21,1)))),$F$12))</f>
        <v/>
      </c>
      <c r="J209" s="30" t="str">
        <f>IF(($A209+8)&gt;$B$11, "", IFERROR((INDEX($F$12:$F$21,MATCH(($A209+8),$E$12:$E$21,1))+(($A209+8)-INDEX($E$12:$E$21,MATCH(($A209+8),$E$12:$E$21,1)))*(IFERROR(INDEX($F$12:$F$21,MATCH(($A209+8),$E$12:$E$21,1)+1),INDEX($F$12:$F$21,MATCH(($A209+8),$E$12:$E$21,1)))-INDEX($F$12:$F$21,MATCH(($A209+8),$E$12:$E$21,1)))/IF((IFERROR(INDEX($E$12:$E$21,MATCH(($A209+8),$E$12:$E$21,1)+1),INDEX($E$12:$E$21,MATCH(($A209+8),$E$12:$E$21,1))+1)-INDEX($E$12:$E$21,MATCH(($A209+8),$E$12:$E$21,1)))=0,1,IFERROR(INDEX($E$12:$E$21,MATCH(($A209+8),$E$12:$E$21,1)+1),INDEX($E$12:$E$21,MATCH(($A209+8),$E$12:$E$21,1))+1)-INDEX($E$12:$E$21,MATCH(($A209+8),$E$12:$E$21,1)))),$F$12))</f>
        <v/>
      </c>
      <c r="K209" s="30" t="str">
        <f>IF(($A209+9)&gt;$B$11, "", IFERROR((INDEX($F$12:$F$21,MATCH(($A209+9),$E$12:$E$21,1))+(($A209+9)-INDEX($E$12:$E$21,MATCH(($A209+9),$E$12:$E$21,1)))*(IFERROR(INDEX($F$12:$F$21,MATCH(($A209+9),$E$12:$E$21,1)+1),INDEX($F$12:$F$21,MATCH(($A209+9),$E$12:$E$21,1)))-INDEX($F$12:$F$21,MATCH(($A209+9),$E$12:$E$21,1)))/IF((IFERROR(INDEX($E$12:$E$21,MATCH(($A209+9),$E$12:$E$21,1)+1),INDEX($E$12:$E$21,MATCH(($A209+9),$E$12:$E$21,1))+1)-INDEX($E$12:$E$21,MATCH(($A209+9),$E$12:$E$21,1)))=0,1,IFERROR(INDEX($E$12:$E$21,MATCH(($A209+9),$E$12:$E$21,1)+1),INDEX($E$12:$E$21,MATCH(($A209+9),$E$12:$E$21,1))+1)-INDEX($E$12:$E$21,MATCH(($A209+9),$E$12:$E$21,1)))),$F$12))</f>
        <v/>
      </c>
    </row>
    <row r="210">
      <c r="A210" s="11">
        <v>120</v>
      </c>
      <c r="B210" s="30" t="str">
        <f>IF(($A210+0)&gt;$B$11, "", IFERROR((INDEX($F$12:$F$21,MATCH(($A210+0),$E$12:$E$21,1))+(($A210+0)-INDEX($E$12:$E$21,MATCH(($A210+0),$E$12:$E$21,1)))*(IFERROR(INDEX($F$12:$F$21,MATCH(($A210+0),$E$12:$E$21,1)+1),INDEX($F$12:$F$21,MATCH(($A210+0),$E$12:$E$21,1)))-INDEX($F$12:$F$21,MATCH(($A210+0),$E$12:$E$21,1)))/IF((IFERROR(INDEX($E$12:$E$21,MATCH(($A210+0),$E$12:$E$21,1)+1),INDEX($E$12:$E$21,MATCH(($A210+0),$E$12:$E$21,1))+1)-INDEX($E$12:$E$21,MATCH(($A210+0),$E$12:$E$21,1)))=0,1,IFERROR(INDEX($E$12:$E$21,MATCH(($A210+0),$E$12:$E$21,1)+1),INDEX($E$12:$E$21,MATCH(($A210+0),$E$12:$E$21,1))+1)-INDEX($E$12:$E$21,MATCH(($A210+0),$E$12:$E$21,1)))),$F$12))</f>
        <v/>
      </c>
      <c r="C210" s="30" t="str">
        <f>IF(($A210+1)&gt;$B$11, "", IFERROR((INDEX($F$12:$F$21,MATCH(($A210+1),$E$12:$E$21,1))+(($A210+1)-INDEX($E$12:$E$21,MATCH(($A210+1),$E$12:$E$21,1)))*(IFERROR(INDEX($F$12:$F$21,MATCH(($A210+1),$E$12:$E$21,1)+1),INDEX($F$12:$F$21,MATCH(($A210+1),$E$12:$E$21,1)))-INDEX($F$12:$F$21,MATCH(($A210+1),$E$12:$E$21,1)))/IF((IFERROR(INDEX($E$12:$E$21,MATCH(($A210+1),$E$12:$E$21,1)+1),INDEX($E$12:$E$21,MATCH(($A210+1),$E$12:$E$21,1))+1)-INDEX($E$12:$E$21,MATCH(($A210+1),$E$12:$E$21,1)))=0,1,IFERROR(INDEX($E$12:$E$21,MATCH(($A210+1),$E$12:$E$21,1)+1),INDEX($E$12:$E$21,MATCH(($A210+1),$E$12:$E$21,1))+1)-INDEX($E$12:$E$21,MATCH(($A210+1),$E$12:$E$21,1)))),$F$12))</f>
        <v/>
      </c>
      <c r="D210" s="30" t="str">
        <f>IF(($A210+2)&gt;$B$11, "", IFERROR((INDEX($F$12:$F$21,MATCH(($A210+2),$E$12:$E$21,1))+(($A210+2)-INDEX($E$12:$E$21,MATCH(($A210+2),$E$12:$E$21,1)))*(IFERROR(INDEX($F$12:$F$21,MATCH(($A210+2),$E$12:$E$21,1)+1),INDEX($F$12:$F$21,MATCH(($A210+2),$E$12:$E$21,1)))-INDEX($F$12:$F$21,MATCH(($A210+2),$E$12:$E$21,1)))/IF((IFERROR(INDEX($E$12:$E$21,MATCH(($A210+2),$E$12:$E$21,1)+1),INDEX($E$12:$E$21,MATCH(($A210+2),$E$12:$E$21,1))+1)-INDEX($E$12:$E$21,MATCH(($A210+2),$E$12:$E$21,1)))=0,1,IFERROR(INDEX($E$12:$E$21,MATCH(($A210+2),$E$12:$E$21,1)+1),INDEX($E$12:$E$21,MATCH(($A210+2),$E$12:$E$21,1))+1)-INDEX($E$12:$E$21,MATCH(($A210+2),$E$12:$E$21,1)))),$F$12))</f>
        <v/>
      </c>
      <c r="E210" s="30" t="str">
        <f>IF(($A210+3)&gt;$B$11, "", IFERROR((INDEX($F$12:$F$21,MATCH(($A210+3),$E$12:$E$21,1))+(($A210+3)-INDEX($E$12:$E$21,MATCH(($A210+3),$E$12:$E$21,1)))*(IFERROR(INDEX($F$12:$F$21,MATCH(($A210+3),$E$12:$E$21,1)+1),INDEX($F$12:$F$21,MATCH(($A210+3),$E$12:$E$21,1)))-INDEX($F$12:$F$21,MATCH(($A210+3),$E$12:$E$21,1)))/IF((IFERROR(INDEX($E$12:$E$21,MATCH(($A210+3),$E$12:$E$21,1)+1),INDEX($E$12:$E$21,MATCH(($A210+3),$E$12:$E$21,1))+1)-INDEX($E$12:$E$21,MATCH(($A210+3),$E$12:$E$21,1)))=0,1,IFERROR(INDEX($E$12:$E$21,MATCH(($A210+3),$E$12:$E$21,1)+1),INDEX($E$12:$E$21,MATCH(($A210+3),$E$12:$E$21,1))+1)-INDEX($E$12:$E$21,MATCH(($A210+3),$E$12:$E$21,1)))),$F$12))</f>
        <v/>
      </c>
      <c r="F210" s="30" t="str">
        <f>IF(($A210+4)&gt;$B$11, "", IFERROR((INDEX($F$12:$F$21,MATCH(($A210+4),$E$12:$E$21,1))+(($A210+4)-INDEX($E$12:$E$21,MATCH(($A210+4),$E$12:$E$21,1)))*(IFERROR(INDEX($F$12:$F$21,MATCH(($A210+4),$E$12:$E$21,1)+1),INDEX($F$12:$F$21,MATCH(($A210+4),$E$12:$E$21,1)))-INDEX($F$12:$F$21,MATCH(($A210+4),$E$12:$E$21,1)))/IF((IFERROR(INDEX($E$12:$E$21,MATCH(($A210+4),$E$12:$E$21,1)+1),INDEX($E$12:$E$21,MATCH(($A210+4),$E$12:$E$21,1))+1)-INDEX($E$12:$E$21,MATCH(($A210+4),$E$12:$E$21,1)))=0,1,IFERROR(INDEX($E$12:$E$21,MATCH(($A210+4),$E$12:$E$21,1)+1),INDEX($E$12:$E$21,MATCH(($A210+4),$E$12:$E$21,1))+1)-INDEX($E$12:$E$21,MATCH(($A210+4),$E$12:$E$21,1)))),$F$12))</f>
        <v/>
      </c>
      <c r="G210" s="30" t="str">
        <f>IF(($A210+5)&gt;$B$11, "", IFERROR((INDEX($F$12:$F$21,MATCH(($A210+5),$E$12:$E$21,1))+(($A210+5)-INDEX($E$12:$E$21,MATCH(($A210+5),$E$12:$E$21,1)))*(IFERROR(INDEX($F$12:$F$21,MATCH(($A210+5),$E$12:$E$21,1)+1),INDEX($F$12:$F$21,MATCH(($A210+5),$E$12:$E$21,1)))-INDEX($F$12:$F$21,MATCH(($A210+5),$E$12:$E$21,1)))/IF((IFERROR(INDEX($E$12:$E$21,MATCH(($A210+5),$E$12:$E$21,1)+1),INDEX($E$12:$E$21,MATCH(($A210+5),$E$12:$E$21,1))+1)-INDEX($E$12:$E$21,MATCH(($A210+5),$E$12:$E$21,1)))=0,1,IFERROR(INDEX($E$12:$E$21,MATCH(($A210+5),$E$12:$E$21,1)+1),INDEX($E$12:$E$21,MATCH(($A210+5),$E$12:$E$21,1))+1)-INDEX($E$12:$E$21,MATCH(($A210+5),$E$12:$E$21,1)))),$F$12))</f>
        <v/>
      </c>
      <c r="H210" s="30" t="str">
        <f>IF(($A210+6)&gt;$B$11, "", IFERROR((INDEX($F$12:$F$21,MATCH(($A210+6),$E$12:$E$21,1))+(($A210+6)-INDEX($E$12:$E$21,MATCH(($A210+6),$E$12:$E$21,1)))*(IFERROR(INDEX($F$12:$F$21,MATCH(($A210+6),$E$12:$E$21,1)+1),INDEX($F$12:$F$21,MATCH(($A210+6),$E$12:$E$21,1)))-INDEX($F$12:$F$21,MATCH(($A210+6),$E$12:$E$21,1)))/IF((IFERROR(INDEX($E$12:$E$21,MATCH(($A210+6),$E$12:$E$21,1)+1),INDEX($E$12:$E$21,MATCH(($A210+6),$E$12:$E$21,1))+1)-INDEX($E$12:$E$21,MATCH(($A210+6),$E$12:$E$21,1)))=0,1,IFERROR(INDEX($E$12:$E$21,MATCH(($A210+6),$E$12:$E$21,1)+1),INDEX($E$12:$E$21,MATCH(($A210+6),$E$12:$E$21,1))+1)-INDEX($E$12:$E$21,MATCH(($A210+6),$E$12:$E$21,1)))),$F$12))</f>
        <v/>
      </c>
      <c r="I210" s="30" t="str">
        <f>IF(($A210+7)&gt;$B$11, "", IFERROR((INDEX($F$12:$F$21,MATCH(($A210+7),$E$12:$E$21,1))+(($A210+7)-INDEX($E$12:$E$21,MATCH(($A210+7),$E$12:$E$21,1)))*(IFERROR(INDEX($F$12:$F$21,MATCH(($A210+7),$E$12:$E$21,1)+1),INDEX($F$12:$F$21,MATCH(($A210+7),$E$12:$E$21,1)))-INDEX($F$12:$F$21,MATCH(($A210+7),$E$12:$E$21,1)))/IF((IFERROR(INDEX($E$12:$E$21,MATCH(($A210+7),$E$12:$E$21,1)+1),INDEX($E$12:$E$21,MATCH(($A210+7),$E$12:$E$21,1))+1)-INDEX($E$12:$E$21,MATCH(($A210+7),$E$12:$E$21,1)))=0,1,IFERROR(INDEX($E$12:$E$21,MATCH(($A210+7),$E$12:$E$21,1)+1),INDEX($E$12:$E$21,MATCH(($A210+7),$E$12:$E$21,1))+1)-INDEX($E$12:$E$21,MATCH(($A210+7),$E$12:$E$21,1)))),$F$12))</f>
        <v/>
      </c>
      <c r="J210" s="30" t="str">
        <f>IF(($A210+8)&gt;$B$11, "", IFERROR((INDEX($F$12:$F$21,MATCH(($A210+8),$E$12:$E$21,1))+(($A210+8)-INDEX($E$12:$E$21,MATCH(($A210+8),$E$12:$E$21,1)))*(IFERROR(INDEX($F$12:$F$21,MATCH(($A210+8),$E$12:$E$21,1)+1),INDEX($F$12:$F$21,MATCH(($A210+8),$E$12:$E$21,1)))-INDEX($F$12:$F$21,MATCH(($A210+8),$E$12:$E$21,1)))/IF((IFERROR(INDEX($E$12:$E$21,MATCH(($A210+8),$E$12:$E$21,1)+1),INDEX($E$12:$E$21,MATCH(($A210+8),$E$12:$E$21,1))+1)-INDEX($E$12:$E$21,MATCH(($A210+8),$E$12:$E$21,1)))=0,1,IFERROR(INDEX($E$12:$E$21,MATCH(($A210+8),$E$12:$E$21,1)+1),INDEX($E$12:$E$21,MATCH(($A210+8),$E$12:$E$21,1))+1)-INDEX($E$12:$E$21,MATCH(($A210+8),$E$12:$E$21,1)))),$F$12))</f>
        <v/>
      </c>
      <c r="K210" s="30" t="str">
        <f>IF(($A210+9)&gt;$B$11, "", IFERROR((INDEX($F$12:$F$21,MATCH(($A210+9),$E$12:$E$21,1))+(($A210+9)-INDEX($E$12:$E$21,MATCH(($A210+9),$E$12:$E$21,1)))*(IFERROR(INDEX($F$12:$F$21,MATCH(($A210+9),$E$12:$E$21,1)+1),INDEX($F$12:$F$21,MATCH(($A210+9),$E$12:$E$21,1)))-INDEX($F$12:$F$21,MATCH(($A210+9),$E$12:$E$21,1)))/IF((IFERROR(INDEX($E$12:$E$21,MATCH(($A210+9),$E$12:$E$21,1)+1),INDEX($E$12:$E$21,MATCH(($A210+9),$E$12:$E$21,1))+1)-INDEX($E$12:$E$21,MATCH(($A210+9),$E$12:$E$21,1)))=0,1,IFERROR(INDEX($E$12:$E$21,MATCH(($A210+9),$E$12:$E$21,1)+1),INDEX($E$12:$E$21,MATCH(($A210+9),$E$12:$E$21,1))+1)-INDEX($E$12:$E$21,MATCH(($A210+9),$E$12:$E$21,1)))),$F$12))</f>
        <v/>
      </c>
    </row>
    <row r="211">
      <c r="A211" s="11">
        <v>130</v>
      </c>
      <c r="B211" s="30" t="str">
        <f>IF(($A211+0)&gt;$B$11, "", IFERROR((INDEX($F$12:$F$21,MATCH(($A211+0),$E$12:$E$21,1))+(($A211+0)-INDEX($E$12:$E$21,MATCH(($A211+0),$E$12:$E$21,1)))*(IFERROR(INDEX($F$12:$F$21,MATCH(($A211+0),$E$12:$E$21,1)+1),INDEX($F$12:$F$21,MATCH(($A211+0),$E$12:$E$21,1)))-INDEX($F$12:$F$21,MATCH(($A211+0),$E$12:$E$21,1)))/IF((IFERROR(INDEX($E$12:$E$21,MATCH(($A211+0),$E$12:$E$21,1)+1),INDEX($E$12:$E$21,MATCH(($A211+0),$E$12:$E$21,1))+1)-INDEX($E$12:$E$21,MATCH(($A211+0),$E$12:$E$21,1)))=0,1,IFERROR(INDEX($E$12:$E$21,MATCH(($A211+0),$E$12:$E$21,1)+1),INDEX($E$12:$E$21,MATCH(($A211+0),$E$12:$E$21,1))+1)-INDEX($E$12:$E$21,MATCH(($A211+0),$E$12:$E$21,1)))),$F$12))</f>
        <v/>
      </c>
      <c r="C211" s="30" t="str">
        <f>IF(($A211+1)&gt;$B$11, "", IFERROR((INDEX($F$12:$F$21,MATCH(($A211+1),$E$12:$E$21,1))+(($A211+1)-INDEX($E$12:$E$21,MATCH(($A211+1),$E$12:$E$21,1)))*(IFERROR(INDEX($F$12:$F$21,MATCH(($A211+1),$E$12:$E$21,1)+1),INDEX($F$12:$F$21,MATCH(($A211+1),$E$12:$E$21,1)))-INDEX($F$12:$F$21,MATCH(($A211+1),$E$12:$E$21,1)))/IF((IFERROR(INDEX($E$12:$E$21,MATCH(($A211+1),$E$12:$E$21,1)+1),INDEX($E$12:$E$21,MATCH(($A211+1),$E$12:$E$21,1))+1)-INDEX($E$12:$E$21,MATCH(($A211+1),$E$12:$E$21,1)))=0,1,IFERROR(INDEX($E$12:$E$21,MATCH(($A211+1),$E$12:$E$21,1)+1),INDEX($E$12:$E$21,MATCH(($A211+1),$E$12:$E$21,1))+1)-INDEX($E$12:$E$21,MATCH(($A211+1),$E$12:$E$21,1)))),$F$12))</f>
        <v/>
      </c>
      <c r="D211" s="30" t="str">
        <f>IF(($A211+2)&gt;$B$11, "", IFERROR((INDEX($F$12:$F$21,MATCH(($A211+2),$E$12:$E$21,1))+(($A211+2)-INDEX($E$12:$E$21,MATCH(($A211+2),$E$12:$E$21,1)))*(IFERROR(INDEX($F$12:$F$21,MATCH(($A211+2),$E$12:$E$21,1)+1),INDEX($F$12:$F$21,MATCH(($A211+2),$E$12:$E$21,1)))-INDEX($F$12:$F$21,MATCH(($A211+2),$E$12:$E$21,1)))/IF((IFERROR(INDEX($E$12:$E$21,MATCH(($A211+2),$E$12:$E$21,1)+1),INDEX($E$12:$E$21,MATCH(($A211+2),$E$12:$E$21,1))+1)-INDEX($E$12:$E$21,MATCH(($A211+2),$E$12:$E$21,1)))=0,1,IFERROR(INDEX($E$12:$E$21,MATCH(($A211+2),$E$12:$E$21,1)+1),INDEX($E$12:$E$21,MATCH(($A211+2),$E$12:$E$21,1))+1)-INDEX($E$12:$E$21,MATCH(($A211+2),$E$12:$E$21,1)))),$F$12))</f>
        <v/>
      </c>
      <c r="E211" s="30" t="str">
        <f>IF(($A211+3)&gt;$B$11, "", IFERROR((INDEX($F$12:$F$21,MATCH(($A211+3),$E$12:$E$21,1))+(($A211+3)-INDEX($E$12:$E$21,MATCH(($A211+3),$E$12:$E$21,1)))*(IFERROR(INDEX($F$12:$F$21,MATCH(($A211+3),$E$12:$E$21,1)+1),INDEX($F$12:$F$21,MATCH(($A211+3),$E$12:$E$21,1)))-INDEX($F$12:$F$21,MATCH(($A211+3),$E$12:$E$21,1)))/IF((IFERROR(INDEX($E$12:$E$21,MATCH(($A211+3),$E$12:$E$21,1)+1),INDEX($E$12:$E$21,MATCH(($A211+3),$E$12:$E$21,1))+1)-INDEX($E$12:$E$21,MATCH(($A211+3),$E$12:$E$21,1)))=0,1,IFERROR(INDEX($E$12:$E$21,MATCH(($A211+3),$E$12:$E$21,1)+1),INDEX($E$12:$E$21,MATCH(($A211+3),$E$12:$E$21,1))+1)-INDEX($E$12:$E$21,MATCH(($A211+3),$E$12:$E$21,1)))),$F$12))</f>
        <v/>
      </c>
      <c r="F211" s="30" t="str">
        <f>IF(($A211+4)&gt;$B$11, "", IFERROR((INDEX($F$12:$F$21,MATCH(($A211+4),$E$12:$E$21,1))+(($A211+4)-INDEX($E$12:$E$21,MATCH(($A211+4),$E$12:$E$21,1)))*(IFERROR(INDEX($F$12:$F$21,MATCH(($A211+4),$E$12:$E$21,1)+1),INDEX($F$12:$F$21,MATCH(($A211+4),$E$12:$E$21,1)))-INDEX($F$12:$F$21,MATCH(($A211+4),$E$12:$E$21,1)))/IF((IFERROR(INDEX($E$12:$E$21,MATCH(($A211+4),$E$12:$E$21,1)+1),INDEX($E$12:$E$21,MATCH(($A211+4),$E$12:$E$21,1))+1)-INDEX($E$12:$E$21,MATCH(($A211+4),$E$12:$E$21,1)))=0,1,IFERROR(INDEX($E$12:$E$21,MATCH(($A211+4),$E$12:$E$21,1)+1),INDEX($E$12:$E$21,MATCH(($A211+4),$E$12:$E$21,1))+1)-INDEX($E$12:$E$21,MATCH(($A211+4),$E$12:$E$21,1)))),$F$12))</f>
        <v/>
      </c>
      <c r="G211" s="30" t="str">
        <f>IF(($A211+5)&gt;$B$11, "", IFERROR((INDEX($F$12:$F$21,MATCH(($A211+5),$E$12:$E$21,1))+(($A211+5)-INDEX($E$12:$E$21,MATCH(($A211+5),$E$12:$E$21,1)))*(IFERROR(INDEX($F$12:$F$21,MATCH(($A211+5),$E$12:$E$21,1)+1),INDEX($F$12:$F$21,MATCH(($A211+5),$E$12:$E$21,1)))-INDEX($F$12:$F$21,MATCH(($A211+5),$E$12:$E$21,1)))/IF((IFERROR(INDEX($E$12:$E$21,MATCH(($A211+5),$E$12:$E$21,1)+1),INDEX($E$12:$E$21,MATCH(($A211+5),$E$12:$E$21,1))+1)-INDEX($E$12:$E$21,MATCH(($A211+5),$E$12:$E$21,1)))=0,1,IFERROR(INDEX($E$12:$E$21,MATCH(($A211+5),$E$12:$E$21,1)+1),INDEX($E$12:$E$21,MATCH(($A211+5),$E$12:$E$21,1))+1)-INDEX($E$12:$E$21,MATCH(($A211+5),$E$12:$E$21,1)))),$F$12))</f>
        <v/>
      </c>
      <c r="H211" s="30" t="str">
        <f>IF(($A211+6)&gt;$B$11, "", IFERROR((INDEX($F$12:$F$21,MATCH(($A211+6),$E$12:$E$21,1))+(($A211+6)-INDEX($E$12:$E$21,MATCH(($A211+6),$E$12:$E$21,1)))*(IFERROR(INDEX($F$12:$F$21,MATCH(($A211+6),$E$12:$E$21,1)+1),INDEX($F$12:$F$21,MATCH(($A211+6),$E$12:$E$21,1)))-INDEX($F$12:$F$21,MATCH(($A211+6),$E$12:$E$21,1)))/IF((IFERROR(INDEX($E$12:$E$21,MATCH(($A211+6),$E$12:$E$21,1)+1),INDEX($E$12:$E$21,MATCH(($A211+6),$E$12:$E$21,1))+1)-INDEX($E$12:$E$21,MATCH(($A211+6),$E$12:$E$21,1)))=0,1,IFERROR(INDEX($E$12:$E$21,MATCH(($A211+6),$E$12:$E$21,1)+1),INDEX($E$12:$E$21,MATCH(($A211+6),$E$12:$E$21,1))+1)-INDEX($E$12:$E$21,MATCH(($A211+6),$E$12:$E$21,1)))),$F$12))</f>
        <v/>
      </c>
      <c r="I211" s="30" t="str">
        <f>IF(($A211+7)&gt;$B$11, "", IFERROR((INDEX($F$12:$F$21,MATCH(($A211+7),$E$12:$E$21,1))+(($A211+7)-INDEX($E$12:$E$21,MATCH(($A211+7),$E$12:$E$21,1)))*(IFERROR(INDEX($F$12:$F$21,MATCH(($A211+7),$E$12:$E$21,1)+1),INDEX($F$12:$F$21,MATCH(($A211+7),$E$12:$E$21,1)))-INDEX($F$12:$F$21,MATCH(($A211+7),$E$12:$E$21,1)))/IF((IFERROR(INDEX($E$12:$E$21,MATCH(($A211+7),$E$12:$E$21,1)+1),INDEX($E$12:$E$21,MATCH(($A211+7),$E$12:$E$21,1))+1)-INDEX($E$12:$E$21,MATCH(($A211+7),$E$12:$E$21,1)))=0,1,IFERROR(INDEX($E$12:$E$21,MATCH(($A211+7),$E$12:$E$21,1)+1),INDEX($E$12:$E$21,MATCH(($A211+7),$E$12:$E$21,1))+1)-INDEX($E$12:$E$21,MATCH(($A211+7),$E$12:$E$21,1)))),$F$12))</f>
        <v/>
      </c>
      <c r="J211" s="30" t="str">
        <f>IF(($A211+8)&gt;$B$11, "", IFERROR((INDEX($F$12:$F$21,MATCH(($A211+8),$E$12:$E$21,1))+(($A211+8)-INDEX($E$12:$E$21,MATCH(($A211+8),$E$12:$E$21,1)))*(IFERROR(INDEX($F$12:$F$21,MATCH(($A211+8),$E$12:$E$21,1)+1),INDEX($F$12:$F$21,MATCH(($A211+8),$E$12:$E$21,1)))-INDEX($F$12:$F$21,MATCH(($A211+8),$E$12:$E$21,1)))/IF((IFERROR(INDEX($E$12:$E$21,MATCH(($A211+8),$E$12:$E$21,1)+1),INDEX($E$12:$E$21,MATCH(($A211+8),$E$12:$E$21,1))+1)-INDEX($E$12:$E$21,MATCH(($A211+8),$E$12:$E$21,1)))=0,1,IFERROR(INDEX($E$12:$E$21,MATCH(($A211+8),$E$12:$E$21,1)+1),INDEX($E$12:$E$21,MATCH(($A211+8),$E$12:$E$21,1))+1)-INDEX($E$12:$E$21,MATCH(($A211+8),$E$12:$E$21,1)))),$F$12))</f>
        <v/>
      </c>
      <c r="K211" s="30" t="str">
        <f>IF(($A211+9)&gt;$B$11, "", IFERROR((INDEX($F$12:$F$21,MATCH(($A211+9),$E$12:$E$21,1))+(($A211+9)-INDEX($E$12:$E$21,MATCH(($A211+9),$E$12:$E$21,1)))*(IFERROR(INDEX($F$12:$F$21,MATCH(($A211+9),$E$12:$E$21,1)+1),INDEX($F$12:$F$21,MATCH(($A211+9),$E$12:$E$21,1)))-INDEX($F$12:$F$21,MATCH(($A211+9),$E$12:$E$21,1)))/IF((IFERROR(INDEX($E$12:$E$21,MATCH(($A211+9),$E$12:$E$21,1)+1),INDEX($E$12:$E$21,MATCH(($A211+9),$E$12:$E$21,1))+1)-INDEX($E$12:$E$21,MATCH(($A211+9),$E$12:$E$21,1)))=0,1,IFERROR(INDEX($E$12:$E$21,MATCH(($A211+9),$E$12:$E$21,1)+1),INDEX($E$12:$E$21,MATCH(($A211+9),$E$12:$E$21,1))+1)-INDEX($E$12:$E$21,MATCH(($A211+9),$E$12:$E$21,1)))),$F$12))</f>
        <v/>
      </c>
    </row>
    <row r="212">
      <c r="A212" s="11">
        <v>140</v>
      </c>
      <c r="B212" s="30" t="str">
        <f>IF(($A212+0)&gt;$B$11, "", IFERROR((INDEX($F$12:$F$21,MATCH(($A212+0),$E$12:$E$21,1))+(($A212+0)-INDEX($E$12:$E$21,MATCH(($A212+0),$E$12:$E$21,1)))*(IFERROR(INDEX($F$12:$F$21,MATCH(($A212+0),$E$12:$E$21,1)+1),INDEX($F$12:$F$21,MATCH(($A212+0),$E$12:$E$21,1)))-INDEX($F$12:$F$21,MATCH(($A212+0),$E$12:$E$21,1)))/IF((IFERROR(INDEX($E$12:$E$21,MATCH(($A212+0),$E$12:$E$21,1)+1),INDEX($E$12:$E$21,MATCH(($A212+0),$E$12:$E$21,1))+1)-INDEX($E$12:$E$21,MATCH(($A212+0),$E$12:$E$21,1)))=0,1,IFERROR(INDEX($E$12:$E$21,MATCH(($A212+0),$E$12:$E$21,1)+1),INDEX($E$12:$E$21,MATCH(($A212+0),$E$12:$E$21,1))+1)-INDEX($E$12:$E$21,MATCH(($A212+0),$E$12:$E$21,1)))),$F$12))</f>
        <v/>
      </c>
      <c r="C212" s="30" t="str">
        <f>IF(($A212+1)&gt;$B$11, "", IFERROR((INDEX($F$12:$F$21,MATCH(($A212+1),$E$12:$E$21,1))+(($A212+1)-INDEX($E$12:$E$21,MATCH(($A212+1),$E$12:$E$21,1)))*(IFERROR(INDEX($F$12:$F$21,MATCH(($A212+1),$E$12:$E$21,1)+1),INDEX($F$12:$F$21,MATCH(($A212+1),$E$12:$E$21,1)))-INDEX($F$12:$F$21,MATCH(($A212+1),$E$12:$E$21,1)))/IF((IFERROR(INDEX($E$12:$E$21,MATCH(($A212+1),$E$12:$E$21,1)+1),INDEX($E$12:$E$21,MATCH(($A212+1),$E$12:$E$21,1))+1)-INDEX($E$12:$E$21,MATCH(($A212+1),$E$12:$E$21,1)))=0,1,IFERROR(INDEX($E$12:$E$21,MATCH(($A212+1),$E$12:$E$21,1)+1),INDEX($E$12:$E$21,MATCH(($A212+1),$E$12:$E$21,1))+1)-INDEX($E$12:$E$21,MATCH(($A212+1),$E$12:$E$21,1)))),$F$12))</f>
        <v/>
      </c>
      <c r="D212" s="30" t="str">
        <f>IF(($A212+2)&gt;$B$11, "", IFERROR((INDEX($F$12:$F$21,MATCH(($A212+2),$E$12:$E$21,1))+(($A212+2)-INDEX($E$12:$E$21,MATCH(($A212+2),$E$12:$E$21,1)))*(IFERROR(INDEX($F$12:$F$21,MATCH(($A212+2),$E$12:$E$21,1)+1),INDEX($F$12:$F$21,MATCH(($A212+2),$E$12:$E$21,1)))-INDEX($F$12:$F$21,MATCH(($A212+2),$E$12:$E$21,1)))/IF((IFERROR(INDEX($E$12:$E$21,MATCH(($A212+2),$E$12:$E$21,1)+1),INDEX($E$12:$E$21,MATCH(($A212+2),$E$12:$E$21,1))+1)-INDEX($E$12:$E$21,MATCH(($A212+2),$E$12:$E$21,1)))=0,1,IFERROR(INDEX($E$12:$E$21,MATCH(($A212+2),$E$12:$E$21,1)+1),INDEX($E$12:$E$21,MATCH(($A212+2),$E$12:$E$21,1))+1)-INDEX($E$12:$E$21,MATCH(($A212+2),$E$12:$E$21,1)))),$F$12))</f>
        <v/>
      </c>
      <c r="E212" s="30" t="str">
        <f>IF(($A212+3)&gt;$B$11, "", IFERROR((INDEX($F$12:$F$21,MATCH(($A212+3),$E$12:$E$21,1))+(($A212+3)-INDEX($E$12:$E$21,MATCH(($A212+3),$E$12:$E$21,1)))*(IFERROR(INDEX($F$12:$F$21,MATCH(($A212+3),$E$12:$E$21,1)+1),INDEX($F$12:$F$21,MATCH(($A212+3),$E$12:$E$21,1)))-INDEX($F$12:$F$21,MATCH(($A212+3),$E$12:$E$21,1)))/IF((IFERROR(INDEX($E$12:$E$21,MATCH(($A212+3),$E$12:$E$21,1)+1),INDEX($E$12:$E$21,MATCH(($A212+3),$E$12:$E$21,1))+1)-INDEX($E$12:$E$21,MATCH(($A212+3),$E$12:$E$21,1)))=0,1,IFERROR(INDEX($E$12:$E$21,MATCH(($A212+3),$E$12:$E$21,1)+1),INDEX($E$12:$E$21,MATCH(($A212+3),$E$12:$E$21,1))+1)-INDEX($E$12:$E$21,MATCH(($A212+3),$E$12:$E$21,1)))),$F$12))</f>
        <v/>
      </c>
      <c r="F212" s="30" t="str">
        <f>IF(($A212+4)&gt;$B$11, "", IFERROR((INDEX($F$12:$F$21,MATCH(($A212+4),$E$12:$E$21,1))+(($A212+4)-INDEX($E$12:$E$21,MATCH(($A212+4),$E$12:$E$21,1)))*(IFERROR(INDEX($F$12:$F$21,MATCH(($A212+4),$E$12:$E$21,1)+1),INDEX($F$12:$F$21,MATCH(($A212+4),$E$12:$E$21,1)))-INDEX($F$12:$F$21,MATCH(($A212+4),$E$12:$E$21,1)))/IF((IFERROR(INDEX($E$12:$E$21,MATCH(($A212+4),$E$12:$E$21,1)+1),INDEX($E$12:$E$21,MATCH(($A212+4),$E$12:$E$21,1))+1)-INDEX($E$12:$E$21,MATCH(($A212+4),$E$12:$E$21,1)))=0,1,IFERROR(INDEX($E$12:$E$21,MATCH(($A212+4),$E$12:$E$21,1)+1),INDEX($E$12:$E$21,MATCH(($A212+4),$E$12:$E$21,1))+1)-INDEX($E$12:$E$21,MATCH(($A212+4),$E$12:$E$21,1)))),$F$12))</f>
        <v/>
      </c>
      <c r="G212" s="30" t="str">
        <f>IF(($A212+5)&gt;$B$11, "", IFERROR((INDEX($F$12:$F$21,MATCH(($A212+5),$E$12:$E$21,1))+(($A212+5)-INDEX($E$12:$E$21,MATCH(($A212+5),$E$12:$E$21,1)))*(IFERROR(INDEX($F$12:$F$21,MATCH(($A212+5),$E$12:$E$21,1)+1),INDEX($F$12:$F$21,MATCH(($A212+5),$E$12:$E$21,1)))-INDEX($F$12:$F$21,MATCH(($A212+5),$E$12:$E$21,1)))/IF((IFERROR(INDEX($E$12:$E$21,MATCH(($A212+5),$E$12:$E$21,1)+1),INDEX($E$12:$E$21,MATCH(($A212+5),$E$12:$E$21,1))+1)-INDEX($E$12:$E$21,MATCH(($A212+5),$E$12:$E$21,1)))=0,1,IFERROR(INDEX($E$12:$E$21,MATCH(($A212+5),$E$12:$E$21,1)+1),INDEX($E$12:$E$21,MATCH(($A212+5),$E$12:$E$21,1))+1)-INDEX($E$12:$E$21,MATCH(($A212+5),$E$12:$E$21,1)))),$F$12))</f>
        <v/>
      </c>
      <c r="H212" s="30" t="str">
        <f>IF(($A212+6)&gt;$B$11, "", IFERROR((INDEX($F$12:$F$21,MATCH(($A212+6),$E$12:$E$21,1))+(($A212+6)-INDEX($E$12:$E$21,MATCH(($A212+6),$E$12:$E$21,1)))*(IFERROR(INDEX($F$12:$F$21,MATCH(($A212+6),$E$12:$E$21,1)+1),INDEX($F$12:$F$21,MATCH(($A212+6),$E$12:$E$21,1)))-INDEX($F$12:$F$21,MATCH(($A212+6),$E$12:$E$21,1)))/IF((IFERROR(INDEX($E$12:$E$21,MATCH(($A212+6),$E$12:$E$21,1)+1),INDEX($E$12:$E$21,MATCH(($A212+6),$E$12:$E$21,1))+1)-INDEX($E$12:$E$21,MATCH(($A212+6),$E$12:$E$21,1)))=0,1,IFERROR(INDEX($E$12:$E$21,MATCH(($A212+6),$E$12:$E$21,1)+1),INDEX($E$12:$E$21,MATCH(($A212+6),$E$12:$E$21,1))+1)-INDEX($E$12:$E$21,MATCH(($A212+6),$E$12:$E$21,1)))),$F$12))</f>
        <v/>
      </c>
      <c r="I212" s="30" t="str">
        <f>IF(($A212+7)&gt;$B$11, "", IFERROR((INDEX($F$12:$F$21,MATCH(($A212+7),$E$12:$E$21,1))+(($A212+7)-INDEX($E$12:$E$21,MATCH(($A212+7),$E$12:$E$21,1)))*(IFERROR(INDEX($F$12:$F$21,MATCH(($A212+7),$E$12:$E$21,1)+1),INDEX($F$12:$F$21,MATCH(($A212+7),$E$12:$E$21,1)))-INDEX($F$12:$F$21,MATCH(($A212+7),$E$12:$E$21,1)))/IF((IFERROR(INDEX($E$12:$E$21,MATCH(($A212+7),$E$12:$E$21,1)+1),INDEX($E$12:$E$21,MATCH(($A212+7),$E$12:$E$21,1))+1)-INDEX($E$12:$E$21,MATCH(($A212+7),$E$12:$E$21,1)))=0,1,IFERROR(INDEX($E$12:$E$21,MATCH(($A212+7),$E$12:$E$21,1)+1),INDEX($E$12:$E$21,MATCH(($A212+7),$E$12:$E$21,1))+1)-INDEX($E$12:$E$21,MATCH(($A212+7),$E$12:$E$21,1)))),$F$12))</f>
        <v/>
      </c>
      <c r="J212" s="30" t="str">
        <f>IF(($A212+8)&gt;$B$11, "", IFERROR((INDEX($F$12:$F$21,MATCH(($A212+8),$E$12:$E$21,1))+(($A212+8)-INDEX($E$12:$E$21,MATCH(($A212+8),$E$12:$E$21,1)))*(IFERROR(INDEX($F$12:$F$21,MATCH(($A212+8),$E$12:$E$21,1)+1),INDEX($F$12:$F$21,MATCH(($A212+8),$E$12:$E$21,1)))-INDEX($F$12:$F$21,MATCH(($A212+8),$E$12:$E$21,1)))/IF((IFERROR(INDEX($E$12:$E$21,MATCH(($A212+8),$E$12:$E$21,1)+1),INDEX($E$12:$E$21,MATCH(($A212+8),$E$12:$E$21,1))+1)-INDEX($E$12:$E$21,MATCH(($A212+8),$E$12:$E$21,1)))=0,1,IFERROR(INDEX($E$12:$E$21,MATCH(($A212+8),$E$12:$E$21,1)+1),INDEX($E$12:$E$21,MATCH(($A212+8),$E$12:$E$21,1))+1)-INDEX($E$12:$E$21,MATCH(($A212+8),$E$12:$E$21,1)))),$F$12))</f>
        <v/>
      </c>
      <c r="K212" s="30" t="str">
        <f>IF(($A212+9)&gt;$B$11, "", IFERROR((INDEX($F$12:$F$21,MATCH(($A212+9),$E$12:$E$21,1))+(($A212+9)-INDEX($E$12:$E$21,MATCH(($A212+9),$E$12:$E$21,1)))*(IFERROR(INDEX($F$12:$F$21,MATCH(($A212+9),$E$12:$E$21,1)+1),INDEX($F$12:$F$21,MATCH(($A212+9),$E$12:$E$21,1)))-INDEX($F$12:$F$21,MATCH(($A212+9),$E$12:$E$21,1)))/IF((IFERROR(INDEX($E$12:$E$21,MATCH(($A212+9),$E$12:$E$21,1)+1),INDEX($E$12:$E$21,MATCH(($A212+9),$E$12:$E$21,1))+1)-INDEX($E$12:$E$21,MATCH(($A212+9),$E$12:$E$21,1)))=0,1,IFERROR(INDEX($E$12:$E$21,MATCH(($A212+9),$E$12:$E$21,1)+1),INDEX($E$12:$E$21,MATCH(($A212+9),$E$12:$E$21,1))+1)-INDEX($E$12:$E$21,MATCH(($A212+9),$E$12:$E$21,1)))),$F$12))</f>
        <v/>
      </c>
    </row>
    <row r="213">
      <c r="A213" s="11">
        <v>150</v>
      </c>
      <c r="B213" s="30" t="str">
        <f>IF(($A213+0)&gt;$B$11, "", IFERROR((INDEX($F$12:$F$21,MATCH(($A213+0),$E$12:$E$21,1))+(($A213+0)-INDEX($E$12:$E$21,MATCH(($A213+0),$E$12:$E$21,1)))*(IFERROR(INDEX($F$12:$F$21,MATCH(($A213+0),$E$12:$E$21,1)+1),INDEX($F$12:$F$21,MATCH(($A213+0),$E$12:$E$21,1)))-INDEX($F$12:$F$21,MATCH(($A213+0),$E$12:$E$21,1)))/IF((IFERROR(INDEX($E$12:$E$21,MATCH(($A213+0),$E$12:$E$21,1)+1),INDEX($E$12:$E$21,MATCH(($A213+0),$E$12:$E$21,1))+1)-INDEX($E$12:$E$21,MATCH(($A213+0),$E$12:$E$21,1)))=0,1,IFERROR(INDEX($E$12:$E$21,MATCH(($A213+0),$E$12:$E$21,1)+1),INDEX($E$12:$E$21,MATCH(($A213+0),$E$12:$E$21,1))+1)-INDEX($E$12:$E$21,MATCH(($A213+0),$E$12:$E$21,1)))),$F$12))</f>
        <v/>
      </c>
      <c r="C213" s="30" t="str">
        <f>IF(($A213+1)&gt;$B$11, "", IFERROR((INDEX($F$12:$F$21,MATCH(($A213+1),$E$12:$E$21,1))+(($A213+1)-INDEX($E$12:$E$21,MATCH(($A213+1),$E$12:$E$21,1)))*(IFERROR(INDEX($F$12:$F$21,MATCH(($A213+1),$E$12:$E$21,1)+1),INDEX($F$12:$F$21,MATCH(($A213+1),$E$12:$E$21,1)))-INDEX($F$12:$F$21,MATCH(($A213+1),$E$12:$E$21,1)))/IF((IFERROR(INDEX($E$12:$E$21,MATCH(($A213+1),$E$12:$E$21,1)+1),INDEX($E$12:$E$21,MATCH(($A213+1),$E$12:$E$21,1))+1)-INDEX($E$12:$E$21,MATCH(($A213+1),$E$12:$E$21,1)))=0,1,IFERROR(INDEX($E$12:$E$21,MATCH(($A213+1),$E$12:$E$21,1)+1),INDEX($E$12:$E$21,MATCH(($A213+1),$E$12:$E$21,1))+1)-INDEX($E$12:$E$21,MATCH(($A213+1),$E$12:$E$21,1)))),$F$12))</f>
        <v/>
      </c>
      <c r="D213" s="30" t="str">
        <f>IF(($A213+2)&gt;$B$11, "", IFERROR((INDEX($F$12:$F$21,MATCH(($A213+2),$E$12:$E$21,1))+(($A213+2)-INDEX($E$12:$E$21,MATCH(($A213+2),$E$12:$E$21,1)))*(IFERROR(INDEX($F$12:$F$21,MATCH(($A213+2),$E$12:$E$21,1)+1),INDEX($F$12:$F$21,MATCH(($A213+2),$E$12:$E$21,1)))-INDEX($F$12:$F$21,MATCH(($A213+2),$E$12:$E$21,1)))/IF((IFERROR(INDEX($E$12:$E$21,MATCH(($A213+2),$E$12:$E$21,1)+1),INDEX($E$12:$E$21,MATCH(($A213+2),$E$12:$E$21,1))+1)-INDEX($E$12:$E$21,MATCH(($A213+2),$E$12:$E$21,1)))=0,1,IFERROR(INDEX($E$12:$E$21,MATCH(($A213+2),$E$12:$E$21,1)+1),INDEX($E$12:$E$21,MATCH(($A213+2),$E$12:$E$21,1))+1)-INDEX($E$12:$E$21,MATCH(($A213+2),$E$12:$E$21,1)))),$F$12))</f>
        <v/>
      </c>
      <c r="E213" s="30" t="str">
        <f>IF(($A213+3)&gt;$B$11, "", IFERROR((INDEX($F$12:$F$21,MATCH(($A213+3),$E$12:$E$21,1))+(($A213+3)-INDEX($E$12:$E$21,MATCH(($A213+3),$E$12:$E$21,1)))*(IFERROR(INDEX($F$12:$F$21,MATCH(($A213+3),$E$12:$E$21,1)+1),INDEX($F$12:$F$21,MATCH(($A213+3),$E$12:$E$21,1)))-INDEX($F$12:$F$21,MATCH(($A213+3),$E$12:$E$21,1)))/IF((IFERROR(INDEX($E$12:$E$21,MATCH(($A213+3),$E$12:$E$21,1)+1),INDEX($E$12:$E$21,MATCH(($A213+3),$E$12:$E$21,1))+1)-INDEX($E$12:$E$21,MATCH(($A213+3),$E$12:$E$21,1)))=0,1,IFERROR(INDEX($E$12:$E$21,MATCH(($A213+3),$E$12:$E$21,1)+1),INDEX($E$12:$E$21,MATCH(($A213+3),$E$12:$E$21,1))+1)-INDEX($E$12:$E$21,MATCH(($A213+3),$E$12:$E$21,1)))),$F$12))</f>
        <v/>
      </c>
      <c r="F213" s="30" t="str">
        <f>IF(($A213+4)&gt;$B$11, "", IFERROR((INDEX($F$12:$F$21,MATCH(($A213+4),$E$12:$E$21,1))+(($A213+4)-INDEX($E$12:$E$21,MATCH(($A213+4),$E$12:$E$21,1)))*(IFERROR(INDEX($F$12:$F$21,MATCH(($A213+4),$E$12:$E$21,1)+1),INDEX($F$12:$F$21,MATCH(($A213+4),$E$12:$E$21,1)))-INDEX($F$12:$F$21,MATCH(($A213+4),$E$12:$E$21,1)))/IF((IFERROR(INDEX($E$12:$E$21,MATCH(($A213+4),$E$12:$E$21,1)+1),INDEX($E$12:$E$21,MATCH(($A213+4),$E$12:$E$21,1))+1)-INDEX($E$12:$E$21,MATCH(($A213+4),$E$12:$E$21,1)))=0,1,IFERROR(INDEX($E$12:$E$21,MATCH(($A213+4),$E$12:$E$21,1)+1),INDEX($E$12:$E$21,MATCH(($A213+4),$E$12:$E$21,1))+1)-INDEX($E$12:$E$21,MATCH(($A213+4),$E$12:$E$21,1)))),$F$12))</f>
        <v/>
      </c>
      <c r="G213" s="30" t="str">
        <f>IF(($A213+5)&gt;$B$11, "", IFERROR((INDEX($F$12:$F$21,MATCH(($A213+5),$E$12:$E$21,1))+(($A213+5)-INDEX($E$12:$E$21,MATCH(($A213+5),$E$12:$E$21,1)))*(IFERROR(INDEX($F$12:$F$21,MATCH(($A213+5),$E$12:$E$21,1)+1),INDEX($F$12:$F$21,MATCH(($A213+5),$E$12:$E$21,1)))-INDEX($F$12:$F$21,MATCH(($A213+5),$E$12:$E$21,1)))/IF((IFERROR(INDEX($E$12:$E$21,MATCH(($A213+5),$E$12:$E$21,1)+1),INDEX($E$12:$E$21,MATCH(($A213+5),$E$12:$E$21,1))+1)-INDEX($E$12:$E$21,MATCH(($A213+5),$E$12:$E$21,1)))=0,1,IFERROR(INDEX($E$12:$E$21,MATCH(($A213+5),$E$12:$E$21,1)+1),INDEX($E$12:$E$21,MATCH(($A213+5),$E$12:$E$21,1))+1)-INDEX($E$12:$E$21,MATCH(($A213+5),$E$12:$E$21,1)))),$F$12))</f>
        <v/>
      </c>
      <c r="H213" s="30" t="str">
        <f>IF(($A213+6)&gt;$B$11, "", IFERROR((INDEX($F$12:$F$21,MATCH(($A213+6),$E$12:$E$21,1))+(($A213+6)-INDEX($E$12:$E$21,MATCH(($A213+6),$E$12:$E$21,1)))*(IFERROR(INDEX($F$12:$F$21,MATCH(($A213+6),$E$12:$E$21,1)+1),INDEX($F$12:$F$21,MATCH(($A213+6),$E$12:$E$21,1)))-INDEX($F$12:$F$21,MATCH(($A213+6),$E$12:$E$21,1)))/IF((IFERROR(INDEX($E$12:$E$21,MATCH(($A213+6),$E$12:$E$21,1)+1),INDEX($E$12:$E$21,MATCH(($A213+6),$E$12:$E$21,1))+1)-INDEX($E$12:$E$21,MATCH(($A213+6),$E$12:$E$21,1)))=0,1,IFERROR(INDEX($E$12:$E$21,MATCH(($A213+6),$E$12:$E$21,1)+1),INDEX($E$12:$E$21,MATCH(($A213+6),$E$12:$E$21,1))+1)-INDEX($E$12:$E$21,MATCH(($A213+6),$E$12:$E$21,1)))),$F$12))</f>
        <v/>
      </c>
      <c r="I213" s="30" t="str">
        <f>IF(($A213+7)&gt;$B$11, "", IFERROR((INDEX($F$12:$F$21,MATCH(($A213+7),$E$12:$E$21,1))+(($A213+7)-INDEX($E$12:$E$21,MATCH(($A213+7),$E$12:$E$21,1)))*(IFERROR(INDEX($F$12:$F$21,MATCH(($A213+7),$E$12:$E$21,1)+1),INDEX($F$12:$F$21,MATCH(($A213+7),$E$12:$E$21,1)))-INDEX($F$12:$F$21,MATCH(($A213+7),$E$12:$E$21,1)))/IF((IFERROR(INDEX($E$12:$E$21,MATCH(($A213+7),$E$12:$E$21,1)+1),INDEX($E$12:$E$21,MATCH(($A213+7),$E$12:$E$21,1))+1)-INDEX($E$12:$E$21,MATCH(($A213+7),$E$12:$E$21,1)))=0,1,IFERROR(INDEX($E$12:$E$21,MATCH(($A213+7),$E$12:$E$21,1)+1),INDEX($E$12:$E$21,MATCH(($A213+7),$E$12:$E$21,1))+1)-INDEX($E$12:$E$21,MATCH(($A213+7),$E$12:$E$21,1)))),$F$12))</f>
        <v/>
      </c>
      <c r="J213" s="30" t="str">
        <f>IF(($A213+8)&gt;$B$11, "", IFERROR((INDEX($F$12:$F$21,MATCH(($A213+8),$E$12:$E$21,1))+(($A213+8)-INDEX($E$12:$E$21,MATCH(($A213+8),$E$12:$E$21,1)))*(IFERROR(INDEX($F$12:$F$21,MATCH(($A213+8),$E$12:$E$21,1)+1),INDEX($F$12:$F$21,MATCH(($A213+8),$E$12:$E$21,1)))-INDEX($F$12:$F$21,MATCH(($A213+8),$E$12:$E$21,1)))/IF((IFERROR(INDEX($E$12:$E$21,MATCH(($A213+8),$E$12:$E$21,1)+1),INDEX($E$12:$E$21,MATCH(($A213+8),$E$12:$E$21,1))+1)-INDEX($E$12:$E$21,MATCH(($A213+8),$E$12:$E$21,1)))=0,1,IFERROR(INDEX($E$12:$E$21,MATCH(($A213+8),$E$12:$E$21,1)+1),INDEX($E$12:$E$21,MATCH(($A213+8),$E$12:$E$21,1))+1)-INDEX($E$12:$E$21,MATCH(($A213+8),$E$12:$E$21,1)))),$F$12))</f>
        <v/>
      </c>
      <c r="K213" s="30" t="str">
        <f>IF(($A213+9)&gt;$B$11, "", IFERROR((INDEX($F$12:$F$21,MATCH(($A213+9),$E$12:$E$21,1))+(($A213+9)-INDEX($E$12:$E$21,MATCH(($A213+9),$E$12:$E$21,1)))*(IFERROR(INDEX($F$12:$F$21,MATCH(($A213+9),$E$12:$E$21,1)+1),INDEX($F$12:$F$21,MATCH(($A213+9),$E$12:$E$21,1)))-INDEX($F$12:$F$21,MATCH(($A213+9),$E$12:$E$21,1)))/IF((IFERROR(INDEX($E$12:$E$21,MATCH(($A213+9),$E$12:$E$21,1)+1),INDEX($E$12:$E$21,MATCH(($A213+9),$E$12:$E$21,1))+1)-INDEX($E$12:$E$21,MATCH(($A213+9),$E$12:$E$21,1)))=0,1,IFERROR(INDEX($E$12:$E$21,MATCH(($A213+9),$E$12:$E$21,1)+1),INDEX($E$12:$E$21,MATCH(($A213+9),$E$12:$E$21,1))+1)-INDEX($E$12:$E$21,MATCH(($A213+9),$E$12:$E$21,1)))),$F$12))</f>
        <v/>
      </c>
    </row>
    <row r="214">
      <c r="A214" s="11">
        <v>160</v>
      </c>
      <c r="B214" s="30" t="str">
        <f>IF(($A214+0)&gt;$B$11, "", IFERROR((INDEX($F$12:$F$21,MATCH(($A214+0),$E$12:$E$21,1))+(($A214+0)-INDEX($E$12:$E$21,MATCH(($A214+0),$E$12:$E$21,1)))*(IFERROR(INDEX($F$12:$F$21,MATCH(($A214+0),$E$12:$E$21,1)+1),INDEX($F$12:$F$21,MATCH(($A214+0),$E$12:$E$21,1)))-INDEX($F$12:$F$21,MATCH(($A214+0),$E$12:$E$21,1)))/IF((IFERROR(INDEX($E$12:$E$21,MATCH(($A214+0),$E$12:$E$21,1)+1),INDEX($E$12:$E$21,MATCH(($A214+0),$E$12:$E$21,1))+1)-INDEX($E$12:$E$21,MATCH(($A214+0),$E$12:$E$21,1)))=0,1,IFERROR(INDEX($E$12:$E$21,MATCH(($A214+0),$E$12:$E$21,1)+1),INDEX($E$12:$E$21,MATCH(($A214+0),$E$12:$E$21,1))+1)-INDEX($E$12:$E$21,MATCH(($A214+0),$E$12:$E$21,1)))),$F$12))</f>
        <v/>
      </c>
      <c r="C214" s="30" t="str">
        <f>IF(($A214+1)&gt;$B$11, "", IFERROR((INDEX($F$12:$F$21,MATCH(($A214+1),$E$12:$E$21,1))+(($A214+1)-INDEX($E$12:$E$21,MATCH(($A214+1),$E$12:$E$21,1)))*(IFERROR(INDEX($F$12:$F$21,MATCH(($A214+1),$E$12:$E$21,1)+1),INDEX($F$12:$F$21,MATCH(($A214+1),$E$12:$E$21,1)))-INDEX($F$12:$F$21,MATCH(($A214+1),$E$12:$E$21,1)))/IF((IFERROR(INDEX($E$12:$E$21,MATCH(($A214+1),$E$12:$E$21,1)+1),INDEX($E$12:$E$21,MATCH(($A214+1),$E$12:$E$21,1))+1)-INDEX($E$12:$E$21,MATCH(($A214+1),$E$12:$E$21,1)))=0,1,IFERROR(INDEX($E$12:$E$21,MATCH(($A214+1),$E$12:$E$21,1)+1),INDEX($E$12:$E$21,MATCH(($A214+1),$E$12:$E$21,1))+1)-INDEX($E$12:$E$21,MATCH(($A214+1),$E$12:$E$21,1)))),$F$12))</f>
        <v/>
      </c>
      <c r="D214" s="30" t="str">
        <f>IF(($A214+2)&gt;$B$11, "", IFERROR((INDEX($F$12:$F$21,MATCH(($A214+2),$E$12:$E$21,1))+(($A214+2)-INDEX($E$12:$E$21,MATCH(($A214+2),$E$12:$E$21,1)))*(IFERROR(INDEX($F$12:$F$21,MATCH(($A214+2),$E$12:$E$21,1)+1),INDEX($F$12:$F$21,MATCH(($A214+2),$E$12:$E$21,1)))-INDEX($F$12:$F$21,MATCH(($A214+2),$E$12:$E$21,1)))/IF((IFERROR(INDEX($E$12:$E$21,MATCH(($A214+2),$E$12:$E$21,1)+1),INDEX($E$12:$E$21,MATCH(($A214+2),$E$12:$E$21,1))+1)-INDEX($E$12:$E$21,MATCH(($A214+2),$E$12:$E$21,1)))=0,1,IFERROR(INDEX($E$12:$E$21,MATCH(($A214+2),$E$12:$E$21,1)+1),INDEX($E$12:$E$21,MATCH(($A214+2),$E$12:$E$21,1))+1)-INDEX($E$12:$E$21,MATCH(($A214+2),$E$12:$E$21,1)))),$F$12))</f>
        <v/>
      </c>
      <c r="E214" s="30" t="str">
        <f>IF(($A214+3)&gt;$B$11, "", IFERROR((INDEX($F$12:$F$21,MATCH(($A214+3),$E$12:$E$21,1))+(($A214+3)-INDEX($E$12:$E$21,MATCH(($A214+3),$E$12:$E$21,1)))*(IFERROR(INDEX($F$12:$F$21,MATCH(($A214+3),$E$12:$E$21,1)+1),INDEX($F$12:$F$21,MATCH(($A214+3),$E$12:$E$21,1)))-INDEX($F$12:$F$21,MATCH(($A214+3),$E$12:$E$21,1)))/IF((IFERROR(INDEX($E$12:$E$21,MATCH(($A214+3),$E$12:$E$21,1)+1),INDEX($E$12:$E$21,MATCH(($A214+3),$E$12:$E$21,1))+1)-INDEX($E$12:$E$21,MATCH(($A214+3),$E$12:$E$21,1)))=0,1,IFERROR(INDEX($E$12:$E$21,MATCH(($A214+3),$E$12:$E$21,1)+1),INDEX($E$12:$E$21,MATCH(($A214+3),$E$12:$E$21,1))+1)-INDEX($E$12:$E$21,MATCH(($A214+3),$E$12:$E$21,1)))),$F$12))</f>
        <v/>
      </c>
      <c r="F214" s="30" t="str">
        <f>IF(($A214+4)&gt;$B$11, "", IFERROR((INDEX($F$12:$F$21,MATCH(($A214+4),$E$12:$E$21,1))+(($A214+4)-INDEX($E$12:$E$21,MATCH(($A214+4),$E$12:$E$21,1)))*(IFERROR(INDEX($F$12:$F$21,MATCH(($A214+4),$E$12:$E$21,1)+1),INDEX($F$12:$F$21,MATCH(($A214+4),$E$12:$E$21,1)))-INDEX($F$12:$F$21,MATCH(($A214+4),$E$12:$E$21,1)))/IF((IFERROR(INDEX($E$12:$E$21,MATCH(($A214+4),$E$12:$E$21,1)+1),INDEX($E$12:$E$21,MATCH(($A214+4),$E$12:$E$21,1))+1)-INDEX($E$12:$E$21,MATCH(($A214+4),$E$12:$E$21,1)))=0,1,IFERROR(INDEX($E$12:$E$21,MATCH(($A214+4),$E$12:$E$21,1)+1),INDEX($E$12:$E$21,MATCH(($A214+4),$E$12:$E$21,1))+1)-INDEX($E$12:$E$21,MATCH(($A214+4),$E$12:$E$21,1)))),$F$12))</f>
        <v/>
      </c>
      <c r="G214" s="30" t="str">
        <f>IF(($A214+5)&gt;$B$11, "", IFERROR((INDEX($F$12:$F$21,MATCH(($A214+5),$E$12:$E$21,1))+(($A214+5)-INDEX($E$12:$E$21,MATCH(($A214+5),$E$12:$E$21,1)))*(IFERROR(INDEX($F$12:$F$21,MATCH(($A214+5),$E$12:$E$21,1)+1),INDEX($F$12:$F$21,MATCH(($A214+5),$E$12:$E$21,1)))-INDEX($F$12:$F$21,MATCH(($A214+5),$E$12:$E$21,1)))/IF((IFERROR(INDEX($E$12:$E$21,MATCH(($A214+5),$E$12:$E$21,1)+1),INDEX($E$12:$E$21,MATCH(($A214+5),$E$12:$E$21,1))+1)-INDEX($E$12:$E$21,MATCH(($A214+5),$E$12:$E$21,1)))=0,1,IFERROR(INDEX($E$12:$E$21,MATCH(($A214+5),$E$12:$E$21,1)+1),INDEX($E$12:$E$21,MATCH(($A214+5),$E$12:$E$21,1))+1)-INDEX($E$12:$E$21,MATCH(($A214+5),$E$12:$E$21,1)))),$F$12))</f>
        <v/>
      </c>
      <c r="H214" s="30" t="str">
        <f>IF(($A214+6)&gt;$B$11, "", IFERROR((INDEX($F$12:$F$21,MATCH(($A214+6),$E$12:$E$21,1))+(($A214+6)-INDEX($E$12:$E$21,MATCH(($A214+6),$E$12:$E$21,1)))*(IFERROR(INDEX($F$12:$F$21,MATCH(($A214+6),$E$12:$E$21,1)+1),INDEX($F$12:$F$21,MATCH(($A214+6),$E$12:$E$21,1)))-INDEX($F$12:$F$21,MATCH(($A214+6),$E$12:$E$21,1)))/IF((IFERROR(INDEX($E$12:$E$21,MATCH(($A214+6),$E$12:$E$21,1)+1),INDEX($E$12:$E$21,MATCH(($A214+6),$E$12:$E$21,1))+1)-INDEX($E$12:$E$21,MATCH(($A214+6),$E$12:$E$21,1)))=0,1,IFERROR(INDEX($E$12:$E$21,MATCH(($A214+6),$E$12:$E$21,1)+1),INDEX($E$12:$E$21,MATCH(($A214+6),$E$12:$E$21,1))+1)-INDEX($E$12:$E$21,MATCH(($A214+6),$E$12:$E$21,1)))),$F$12))</f>
        <v/>
      </c>
      <c r="I214" s="30" t="str">
        <f>IF(($A214+7)&gt;$B$11, "", IFERROR((INDEX($F$12:$F$21,MATCH(($A214+7),$E$12:$E$21,1))+(($A214+7)-INDEX($E$12:$E$21,MATCH(($A214+7),$E$12:$E$21,1)))*(IFERROR(INDEX($F$12:$F$21,MATCH(($A214+7),$E$12:$E$21,1)+1),INDEX($F$12:$F$21,MATCH(($A214+7),$E$12:$E$21,1)))-INDEX($F$12:$F$21,MATCH(($A214+7),$E$12:$E$21,1)))/IF((IFERROR(INDEX($E$12:$E$21,MATCH(($A214+7),$E$12:$E$21,1)+1),INDEX($E$12:$E$21,MATCH(($A214+7),$E$12:$E$21,1))+1)-INDEX($E$12:$E$21,MATCH(($A214+7),$E$12:$E$21,1)))=0,1,IFERROR(INDEX($E$12:$E$21,MATCH(($A214+7),$E$12:$E$21,1)+1),INDEX($E$12:$E$21,MATCH(($A214+7),$E$12:$E$21,1))+1)-INDEX($E$12:$E$21,MATCH(($A214+7),$E$12:$E$21,1)))),$F$12))</f>
        <v/>
      </c>
      <c r="J214" s="30" t="str">
        <f>IF(($A214+8)&gt;$B$11, "", IFERROR((INDEX($F$12:$F$21,MATCH(($A214+8),$E$12:$E$21,1))+(($A214+8)-INDEX($E$12:$E$21,MATCH(($A214+8),$E$12:$E$21,1)))*(IFERROR(INDEX($F$12:$F$21,MATCH(($A214+8),$E$12:$E$21,1)+1),INDEX($F$12:$F$21,MATCH(($A214+8),$E$12:$E$21,1)))-INDEX($F$12:$F$21,MATCH(($A214+8),$E$12:$E$21,1)))/IF((IFERROR(INDEX($E$12:$E$21,MATCH(($A214+8),$E$12:$E$21,1)+1),INDEX($E$12:$E$21,MATCH(($A214+8),$E$12:$E$21,1))+1)-INDEX($E$12:$E$21,MATCH(($A214+8),$E$12:$E$21,1)))=0,1,IFERROR(INDEX($E$12:$E$21,MATCH(($A214+8),$E$12:$E$21,1)+1),INDEX($E$12:$E$21,MATCH(($A214+8),$E$12:$E$21,1))+1)-INDEX($E$12:$E$21,MATCH(($A214+8),$E$12:$E$21,1)))),$F$12))</f>
        <v/>
      </c>
      <c r="K214" s="30" t="str">
        <f>IF(($A214+9)&gt;$B$11, "", IFERROR((INDEX($F$12:$F$21,MATCH(($A214+9),$E$12:$E$21,1))+(($A214+9)-INDEX($E$12:$E$21,MATCH(($A214+9),$E$12:$E$21,1)))*(IFERROR(INDEX($F$12:$F$21,MATCH(($A214+9),$E$12:$E$21,1)+1),INDEX($F$12:$F$21,MATCH(($A214+9),$E$12:$E$21,1)))-INDEX($F$12:$F$21,MATCH(($A214+9),$E$12:$E$21,1)))/IF((IFERROR(INDEX($E$12:$E$21,MATCH(($A214+9),$E$12:$E$21,1)+1),INDEX($E$12:$E$21,MATCH(($A214+9),$E$12:$E$21,1))+1)-INDEX($E$12:$E$21,MATCH(($A214+9),$E$12:$E$21,1)))=0,1,IFERROR(INDEX($E$12:$E$21,MATCH(($A214+9),$E$12:$E$21,1)+1),INDEX($E$12:$E$21,MATCH(($A214+9),$E$12:$E$21,1))+1)-INDEX($E$12:$E$21,MATCH(($A214+9),$E$12:$E$21,1)))),$F$12))</f>
        <v/>
      </c>
    </row>
    <row r="215">
      <c r="A215" s="11">
        <v>170</v>
      </c>
      <c r="B215" s="30" t="str">
        <f>IF(($A215+0)&gt;$B$11, "", IFERROR((INDEX($F$12:$F$21,MATCH(($A215+0),$E$12:$E$21,1))+(($A215+0)-INDEX($E$12:$E$21,MATCH(($A215+0),$E$12:$E$21,1)))*(IFERROR(INDEX($F$12:$F$21,MATCH(($A215+0),$E$12:$E$21,1)+1),INDEX($F$12:$F$21,MATCH(($A215+0),$E$12:$E$21,1)))-INDEX($F$12:$F$21,MATCH(($A215+0),$E$12:$E$21,1)))/IF((IFERROR(INDEX($E$12:$E$21,MATCH(($A215+0),$E$12:$E$21,1)+1),INDEX($E$12:$E$21,MATCH(($A215+0),$E$12:$E$21,1))+1)-INDEX($E$12:$E$21,MATCH(($A215+0),$E$12:$E$21,1)))=0,1,IFERROR(INDEX($E$12:$E$21,MATCH(($A215+0),$E$12:$E$21,1)+1),INDEX($E$12:$E$21,MATCH(($A215+0),$E$12:$E$21,1))+1)-INDEX($E$12:$E$21,MATCH(($A215+0),$E$12:$E$21,1)))),$F$12))</f>
        <v/>
      </c>
      <c r="C215" s="30" t="str">
        <f>IF(($A215+1)&gt;$B$11, "", IFERROR((INDEX($F$12:$F$21,MATCH(($A215+1),$E$12:$E$21,1))+(($A215+1)-INDEX($E$12:$E$21,MATCH(($A215+1),$E$12:$E$21,1)))*(IFERROR(INDEX($F$12:$F$21,MATCH(($A215+1),$E$12:$E$21,1)+1),INDEX($F$12:$F$21,MATCH(($A215+1),$E$12:$E$21,1)))-INDEX($F$12:$F$21,MATCH(($A215+1),$E$12:$E$21,1)))/IF((IFERROR(INDEX($E$12:$E$21,MATCH(($A215+1),$E$12:$E$21,1)+1),INDEX($E$12:$E$21,MATCH(($A215+1),$E$12:$E$21,1))+1)-INDEX($E$12:$E$21,MATCH(($A215+1),$E$12:$E$21,1)))=0,1,IFERROR(INDEX($E$12:$E$21,MATCH(($A215+1),$E$12:$E$21,1)+1),INDEX($E$12:$E$21,MATCH(($A215+1),$E$12:$E$21,1))+1)-INDEX($E$12:$E$21,MATCH(($A215+1),$E$12:$E$21,1)))),$F$12))</f>
        <v/>
      </c>
      <c r="D215" s="30" t="str">
        <f>IF(($A215+2)&gt;$B$11, "", IFERROR((INDEX($F$12:$F$21,MATCH(($A215+2),$E$12:$E$21,1))+(($A215+2)-INDEX($E$12:$E$21,MATCH(($A215+2),$E$12:$E$21,1)))*(IFERROR(INDEX($F$12:$F$21,MATCH(($A215+2),$E$12:$E$21,1)+1),INDEX($F$12:$F$21,MATCH(($A215+2),$E$12:$E$21,1)))-INDEX($F$12:$F$21,MATCH(($A215+2),$E$12:$E$21,1)))/IF((IFERROR(INDEX($E$12:$E$21,MATCH(($A215+2),$E$12:$E$21,1)+1),INDEX($E$12:$E$21,MATCH(($A215+2),$E$12:$E$21,1))+1)-INDEX($E$12:$E$21,MATCH(($A215+2),$E$12:$E$21,1)))=0,1,IFERROR(INDEX($E$12:$E$21,MATCH(($A215+2),$E$12:$E$21,1)+1),INDEX($E$12:$E$21,MATCH(($A215+2),$E$12:$E$21,1))+1)-INDEX($E$12:$E$21,MATCH(($A215+2),$E$12:$E$21,1)))),$F$12))</f>
        <v/>
      </c>
      <c r="E215" s="30" t="str">
        <f>IF(($A215+3)&gt;$B$11, "", IFERROR((INDEX($F$12:$F$21,MATCH(($A215+3),$E$12:$E$21,1))+(($A215+3)-INDEX($E$12:$E$21,MATCH(($A215+3),$E$12:$E$21,1)))*(IFERROR(INDEX($F$12:$F$21,MATCH(($A215+3),$E$12:$E$21,1)+1),INDEX($F$12:$F$21,MATCH(($A215+3),$E$12:$E$21,1)))-INDEX($F$12:$F$21,MATCH(($A215+3),$E$12:$E$21,1)))/IF((IFERROR(INDEX($E$12:$E$21,MATCH(($A215+3),$E$12:$E$21,1)+1),INDEX($E$12:$E$21,MATCH(($A215+3),$E$12:$E$21,1))+1)-INDEX($E$12:$E$21,MATCH(($A215+3),$E$12:$E$21,1)))=0,1,IFERROR(INDEX($E$12:$E$21,MATCH(($A215+3),$E$12:$E$21,1)+1),INDEX($E$12:$E$21,MATCH(($A215+3),$E$12:$E$21,1))+1)-INDEX($E$12:$E$21,MATCH(($A215+3),$E$12:$E$21,1)))),$F$12))</f>
        <v/>
      </c>
      <c r="F215" s="30" t="str">
        <f>IF(($A215+4)&gt;$B$11, "", IFERROR((INDEX($F$12:$F$21,MATCH(($A215+4),$E$12:$E$21,1))+(($A215+4)-INDEX($E$12:$E$21,MATCH(($A215+4),$E$12:$E$21,1)))*(IFERROR(INDEX($F$12:$F$21,MATCH(($A215+4),$E$12:$E$21,1)+1),INDEX($F$12:$F$21,MATCH(($A215+4),$E$12:$E$21,1)))-INDEX($F$12:$F$21,MATCH(($A215+4),$E$12:$E$21,1)))/IF((IFERROR(INDEX($E$12:$E$21,MATCH(($A215+4),$E$12:$E$21,1)+1),INDEX($E$12:$E$21,MATCH(($A215+4),$E$12:$E$21,1))+1)-INDEX($E$12:$E$21,MATCH(($A215+4),$E$12:$E$21,1)))=0,1,IFERROR(INDEX($E$12:$E$21,MATCH(($A215+4),$E$12:$E$21,1)+1),INDEX($E$12:$E$21,MATCH(($A215+4),$E$12:$E$21,1))+1)-INDEX($E$12:$E$21,MATCH(($A215+4),$E$12:$E$21,1)))),$F$12))</f>
        <v/>
      </c>
      <c r="G215" s="30" t="str">
        <f>IF(($A215+5)&gt;$B$11, "", IFERROR((INDEX($F$12:$F$21,MATCH(($A215+5),$E$12:$E$21,1))+(($A215+5)-INDEX($E$12:$E$21,MATCH(($A215+5),$E$12:$E$21,1)))*(IFERROR(INDEX($F$12:$F$21,MATCH(($A215+5),$E$12:$E$21,1)+1),INDEX($F$12:$F$21,MATCH(($A215+5),$E$12:$E$21,1)))-INDEX($F$12:$F$21,MATCH(($A215+5),$E$12:$E$21,1)))/IF((IFERROR(INDEX($E$12:$E$21,MATCH(($A215+5),$E$12:$E$21,1)+1),INDEX($E$12:$E$21,MATCH(($A215+5),$E$12:$E$21,1))+1)-INDEX($E$12:$E$21,MATCH(($A215+5),$E$12:$E$21,1)))=0,1,IFERROR(INDEX($E$12:$E$21,MATCH(($A215+5),$E$12:$E$21,1)+1),INDEX($E$12:$E$21,MATCH(($A215+5),$E$12:$E$21,1))+1)-INDEX($E$12:$E$21,MATCH(($A215+5),$E$12:$E$21,1)))),$F$12))</f>
        <v/>
      </c>
      <c r="H215" s="30" t="str">
        <f>IF(($A215+6)&gt;$B$11, "", IFERROR((INDEX($F$12:$F$21,MATCH(($A215+6),$E$12:$E$21,1))+(($A215+6)-INDEX($E$12:$E$21,MATCH(($A215+6),$E$12:$E$21,1)))*(IFERROR(INDEX($F$12:$F$21,MATCH(($A215+6),$E$12:$E$21,1)+1),INDEX($F$12:$F$21,MATCH(($A215+6),$E$12:$E$21,1)))-INDEX($F$12:$F$21,MATCH(($A215+6),$E$12:$E$21,1)))/IF((IFERROR(INDEX($E$12:$E$21,MATCH(($A215+6),$E$12:$E$21,1)+1),INDEX($E$12:$E$21,MATCH(($A215+6),$E$12:$E$21,1))+1)-INDEX($E$12:$E$21,MATCH(($A215+6),$E$12:$E$21,1)))=0,1,IFERROR(INDEX($E$12:$E$21,MATCH(($A215+6),$E$12:$E$21,1)+1),INDEX($E$12:$E$21,MATCH(($A215+6),$E$12:$E$21,1))+1)-INDEX($E$12:$E$21,MATCH(($A215+6),$E$12:$E$21,1)))),$F$12))</f>
        <v/>
      </c>
      <c r="I215" s="30" t="str">
        <f>IF(($A215+7)&gt;$B$11, "", IFERROR((INDEX($F$12:$F$21,MATCH(($A215+7),$E$12:$E$21,1))+(($A215+7)-INDEX($E$12:$E$21,MATCH(($A215+7),$E$12:$E$21,1)))*(IFERROR(INDEX($F$12:$F$21,MATCH(($A215+7),$E$12:$E$21,1)+1),INDEX($F$12:$F$21,MATCH(($A215+7),$E$12:$E$21,1)))-INDEX($F$12:$F$21,MATCH(($A215+7),$E$12:$E$21,1)))/IF((IFERROR(INDEX($E$12:$E$21,MATCH(($A215+7),$E$12:$E$21,1)+1),INDEX($E$12:$E$21,MATCH(($A215+7),$E$12:$E$21,1))+1)-INDEX($E$12:$E$21,MATCH(($A215+7),$E$12:$E$21,1)))=0,1,IFERROR(INDEX($E$12:$E$21,MATCH(($A215+7),$E$12:$E$21,1)+1),INDEX($E$12:$E$21,MATCH(($A215+7),$E$12:$E$21,1))+1)-INDEX($E$12:$E$21,MATCH(($A215+7),$E$12:$E$21,1)))),$F$12))</f>
        <v/>
      </c>
      <c r="J215" s="30" t="str">
        <f>IF(($A215+8)&gt;$B$11, "", IFERROR((INDEX($F$12:$F$21,MATCH(($A215+8),$E$12:$E$21,1))+(($A215+8)-INDEX($E$12:$E$21,MATCH(($A215+8),$E$12:$E$21,1)))*(IFERROR(INDEX($F$12:$F$21,MATCH(($A215+8),$E$12:$E$21,1)+1),INDEX($F$12:$F$21,MATCH(($A215+8),$E$12:$E$21,1)))-INDEX($F$12:$F$21,MATCH(($A215+8),$E$12:$E$21,1)))/IF((IFERROR(INDEX($E$12:$E$21,MATCH(($A215+8),$E$12:$E$21,1)+1),INDEX($E$12:$E$21,MATCH(($A215+8),$E$12:$E$21,1))+1)-INDEX($E$12:$E$21,MATCH(($A215+8),$E$12:$E$21,1)))=0,1,IFERROR(INDEX($E$12:$E$21,MATCH(($A215+8),$E$12:$E$21,1)+1),INDEX($E$12:$E$21,MATCH(($A215+8),$E$12:$E$21,1))+1)-INDEX($E$12:$E$21,MATCH(($A215+8),$E$12:$E$21,1)))),$F$12))</f>
        <v/>
      </c>
      <c r="K215" s="30" t="str">
        <f>IF(($A215+9)&gt;$B$11, "", IFERROR((INDEX($F$12:$F$21,MATCH(($A215+9),$E$12:$E$21,1))+(($A215+9)-INDEX($E$12:$E$21,MATCH(($A215+9),$E$12:$E$21,1)))*(IFERROR(INDEX($F$12:$F$21,MATCH(($A215+9),$E$12:$E$21,1)+1),INDEX($F$12:$F$21,MATCH(($A215+9),$E$12:$E$21,1)))-INDEX($F$12:$F$21,MATCH(($A215+9),$E$12:$E$21,1)))/IF((IFERROR(INDEX($E$12:$E$21,MATCH(($A215+9),$E$12:$E$21,1)+1),INDEX($E$12:$E$21,MATCH(($A215+9),$E$12:$E$21,1))+1)-INDEX($E$12:$E$21,MATCH(($A215+9),$E$12:$E$21,1)))=0,1,IFERROR(INDEX($E$12:$E$21,MATCH(($A215+9),$E$12:$E$21,1)+1),INDEX($E$12:$E$21,MATCH(($A215+9),$E$12:$E$21,1))+1)-INDEX($E$12:$E$21,MATCH(($A215+9),$E$12:$E$21,1)))),$F$12))</f>
        <v/>
      </c>
    </row>
    <row r="216">
      <c r="A216" s="11">
        <v>180</v>
      </c>
      <c r="B216" s="30" t="str">
        <f>IF(($A216+0)&gt;$B$11, "", IFERROR((INDEX($F$12:$F$21,MATCH(($A216+0),$E$12:$E$21,1))+(($A216+0)-INDEX($E$12:$E$21,MATCH(($A216+0),$E$12:$E$21,1)))*(IFERROR(INDEX($F$12:$F$21,MATCH(($A216+0),$E$12:$E$21,1)+1),INDEX($F$12:$F$21,MATCH(($A216+0),$E$12:$E$21,1)))-INDEX($F$12:$F$21,MATCH(($A216+0),$E$12:$E$21,1)))/IF((IFERROR(INDEX($E$12:$E$21,MATCH(($A216+0),$E$12:$E$21,1)+1),INDEX($E$12:$E$21,MATCH(($A216+0),$E$12:$E$21,1))+1)-INDEX($E$12:$E$21,MATCH(($A216+0),$E$12:$E$21,1)))=0,1,IFERROR(INDEX($E$12:$E$21,MATCH(($A216+0),$E$12:$E$21,1)+1),INDEX($E$12:$E$21,MATCH(($A216+0),$E$12:$E$21,1))+1)-INDEX($E$12:$E$21,MATCH(($A216+0),$E$12:$E$21,1)))),$F$12))</f>
        <v/>
      </c>
      <c r="C216" s="30" t="str">
        <f>IF(($A216+1)&gt;$B$11, "", IFERROR((INDEX($F$12:$F$21,MATCH(($A216+1),$E$12:$E$21,1))+(($A216+1)-INDEX($E$12:$E$21,MATCH(($A216+1),$E$12:$E$21,1)))*(IFERROR(INDEX($F$12:$F$21,MATCH(($A216+1),$E$12:$E$21,1)+1),INDEX($F$12:$F$21,MATCH(($A216+1),$E$12:$E$21,1)))-INDEX($F$12:$F$21,MATCH(($A216+1),$E$12:$E$21,1)))/IF((IFERROR(INDEX($E$12:$E$21,MATCH(($A216+1),$E$12:$E$21,1)+1),INDEX($E$12:$E$21,MATCH(($A216+1),$E$12:$E$21,1))+1)-INDEX($E$12:$E$21,MATCH(($A216+1),$E$12:$E$21,1)))=0,1,IFERROR(INDEX($E$12:$E$21,MATCH(($A216+1),$E$12:$E$21,1)+1),INDEX($E$12:$E$21,MATCH(($A216+1),$E$12:$E$21,1))+1)-INDEX($E$12:$E$21,MATCH(($A216+1),$E$12:$E$21,1)))),$F$12))</f>
        <v/>
      </c>
      <c r="D216" s="30" t="str">
        <f>IF(($A216+2)&gt;$B$11, "", IFERROR((INDEX($F$12:$F$21,MATCH(($A216+2),$E$12:$E$21,1))+(($A216+2)-INDEX($E$12:$E$21,MATCH(($A216+2),$E$12:$E$21,1)))*(IFERROR(INDEX($F$12:$F$21,MATCH(($A216+2),$E$12:$E$21,1)+1),INDEX($F$12:$F$21,MATCH(($A216+2),$E$12:$E$21,1)))-INDEX($F$12:$F$21,MATCH(($A216+2),$E$12:$E$21,1)))/IF((IFERROR(INDEX($E$12:$E$21,MATCH(($A216+2),$E$12:$E$21,1)+1),INDEX($E$12:$E$21,MATCH(($A216+2),$E$12:$E$21,1))+1)-INDEX($E$12:$E$21,MATCH(($A216+2),$E$12:$E$21,1)))=0,1,IFERROR(INDEX($E$12:$E$21,MATCH(($A216+2),$E$12:$E$21,1)+1),INDEX($E$12:$E$21,MATCH(($A216+2),$E$12:$E$21,1))+1)-INDEX($E$12:$E$21,MATCH(($A216+2),$E$12:$E$21,1)))),$F$12))</f>
        <v/>
      </c>
      <c r="E216" s="30" t="str">
        <f>IF(($A216+3)&gt;$B$11, "", IFERROR((INDEX($F$12:$F$21,MATCH(($A216+3),$E$12:$E$21,1))+(($A216+3)-INDEX($E$12:$E$21,MATCH(($A216+3),$E$12:$E$21,1)))*(IFERROR(INDEX($F$12:$F$21,MATCH(($A216+3),$E$12:$E$21,1)+1),INDEX($F$12:$F$21,MATCH(($A216+3),$E$12:$E$21,1)))-INDEX($F$12:$F$21,MATCH(($A216+3),$E$12:$E$21,1)))/IF((IFERROR(INDEX($E$12:$E$21,MATCH(($A216+3),$E$12:$E$21,1)+1),INDEX($E$12:$E$21,MATCH(($A216+3),$E$12:$E$21,1))+1)-INDEX($E$12:$E$21,MATCH(($A216+3),$E$12:$E$21,1)))=0,1,IFERROR(INDEX($E$12:$E$21,MATCH(($A216+3),$E$12:$E$21,1)+1),INDEX($E$12:$E$21,MATCH(($A216+3),$E$12:$E$21,1))+1)-INDEX($E$12:$E$21,MATCH(($A216+3),$E$12:$E$21,1)))),$F$12))</f>
        <v/>
      </c>
      <c r="F216" s="30" t="str">
        <f>IF(($A216+4)&gt;$B$11, "", IFERROR((INDEX($F$12:$F$21,MATCH(($A216+4),$E$12:$E$21,1))+(($A216+4)-INDEX($E$12:$E$21,MATCH(($A216+4),$E$12:$E$21,1)))*(IFERROR(INDEX($F$12:$F$21,MATCH(($A216+4),$E$12:$E$21,1)+1),INDEX($F$12:$F$21,MATCH(($A216+4),$E$12:$E$21,1)))-INDEX($F$12:$F$21,MATCH(($A216+4),$E$12:$E$21,1)))/IF((IFERROR(INDEX($E$12:$E$21,MATCH(($A216+4),$E$12:$E$21,1)+1),INDEX($E$12:$E$21,MATCH(($A216+4),$E$12:$E$21,1))+1)-INDEX($E$12:$E$21,MATCH(($A216+4),$E$12:$E$21,1)))=0,1,IFERROR(INDEX($E$12:$E$21,MATCH(($A216+4),$E$12:$E$21,1)+1),INDEX($E$12:$E$21,MATCH(($A216+4),$E$12:$E$21,1))+1)-INDEX($E$12:$E$21,MATCH(($A216+4),$E$12:$E$21,1)))),$F$12))</f>
        <v/>
      </c>
      <c r="G216" s="30" t="str">
        <f>IF(($A216+5)&gt;$B$11, "", IFERROR((INDEX($F$12:$F$21,MATCH(($A216+5),$E$12:$E$21,1))+(($A216+5)-INDEX($E$12:$E$21,MATCH(($A216+5),$E$12:$E$21,1)))*(IFERROR(INDEX($F$12:$F$21,MATCH(($A216+5),$E$12:$E$21,1)+1),INDEX($F$12:$F$21,MATCH(($A216+5),$E$12:$E$21,1)))-INDEX($F$12:$F$21,MATCH(($A216+5),$E$12:$E$21,1)))/IF((IFERROR(INDEX($E$12:$E$21,MATCH(($A216+5),$E$12:$E$21,1)+1),INDEX($E$12:$E$21,MATCH(($A216+5),$E$12:$E$21,1))+1)-INDEX($E$12:$E$21,MATCH(($A216+5),$E$12:$E$21,1)))=0,1,IFERROR(INDEX($E$12:$E$21,MATCH(($A216+5),$E$12:$E$21,1)+1),INDEX($E$12:$E$21,MATCH(($A216+5),$E$12:$E$21,1))+1)-INDEX($E$12:$E$21,MATCH(($A216+5),$E$12:$E$21,1)))),$F$12))</f>
        <v/>
      </c>
      <c r="H216" s="30" t="str">
        <f>IF(($A216+6)&gt;$B$11, "", IFERROR((INDEX($F$12:$F$21,MATCH(($A216+6),$E$12:$E$21,1))+(($A216+6)-INDEX($E$12:$E$21,MATCH(($A216+6),$E$12:$E$21,1)))*(IFERROR(INDEX($F$12:$F$21,MATCH(($A216+6),$E$12:$E$21,1)+1),INDEX($F$12:$F$21,MATCH(($A216+6),$E$12:$E$21,1)))-INDEX($F$12:$F$21,MATCH(($A216+6),$E$12:$E$21,1)))/IF((IFERROR(INDEX($E$12:$E$21,MATCH(($A216+6),$E$12:$E$21,1)+1),INDEX($E$12:$E$21,MATCH(($A216+6),$E$12:$E$21,1))+1)-INDEX($E$12:$E$21,MATCH(($A216+6),$E$12:$E$21,1)))=0,1,IFERROR(INDEX($E$12:$E$21,MATCH(($A216+6),$E$12:$E$21,1)+1),INDEX($E$12:$E$21,MATCH(($A216+6),$E$12:$E$21,1))+1)-INDEX($E$12:$E$21,MATCH(($A216+6),$E$12:$E$21,1)))),$F$12))</f>
        <v/>
      </c>
      <c r="I216" s="30" t="str">
        <f>IF(($A216+7)&gt;$B$11, "", IFERROR((INDEX($F$12:$F$21,MATCH(($A216+7),$E$12:$E$21,1))+(($A216+7)-INDEX($E$12:$E$21,MATCH(($A216+7),$E$12:$E$21,1)))*(IFERROR(INDEX($F$12:$F$21,MATCH(($A216+7),$E$12:$E$21,1)+1),INDEX($F$12:$F$21,MATCH(($A216+7),$E$12:$E$21,1)))-INDEX($F$12:$F$21,MATCH(($A216+7),$E$12:$E$21,1)))/IF((IFERROR(INDEX($E$12:$E$21,MATCH(($A216+7),$E$12:$E$21,1)+1),INDEX($E$12:$E$21,MATCH(($A216+7),$E$12:$E$21,1))+1)-INDEX($E$12:$E$21,MATCH(($A216+7),$E$12:$E$21,1)))=0,1,IFERROR(INDEX($E$12:$E$21,MATCH(($A216+7),$E$12:$E$21,1)+1),INDEX($E$12:$E$21,MATCH(($A216+7),$E$12:$E$21,1))+1)-INDEX($E$12:$E$21,MATCH(($A216+7),$E$12:$E$21,1)))),$F$12))</f>
        <v/>
      </c>
      <c r="J216" s="30" t="str">
        <f>IF(($A216+8)&gt;$B$11, "", IFERROR((INDEX($F$12:$F$21,MATCH(($A216+8),$E$12:$E$21,1))+(($A216+8)-INDEX($E$12:$E$21,MATCH(($A216+8),$E$12:$E$21,1)))*(IFERROR(INDEX($F$12:$F$21,MATCH(($A216+8),$E$12:$E$21,1)+1),INDEX($F$12:$F$21,MATCH(($A216+8),$E$12:$E$21,1)))-INDEX($F$12:$F$21,MATCH(($A216+8),$E$12:$E$21,1)))/IF((IFERROR(INDEX($E$12:$E$21,MATCH(($A216+8),$E$12:$E$21,1)+1),INDEX($E$12:$E$21,MATCH(($A216+8),$E$12:$E$21,1))+1)-INDEX($E$12:$E$21,MATCH(($A216+8),$E$12:$E$21,1)))=0,1,IFERROR(INDEX($E$12:$E$21,MATCH(($A216+8),$E$12:$E$21,1)+1),INDEX($E$12:$E$21,MATCH(($A216+8),$E$12:$E$21,1))+1)-INDEX($E$12:$E$21,MATCH(($A216+8),$E$12:$E$21,1)))),$F$12))</f>
        <v/>
      </c>
      <c r="K216" s="30" t="str">
        <f>IF(($A216+9)&gt;$B$11, "", IFERROR((INDEX($F$12:$F$21,MATCH(($A216+9),$E$12:$E$21,1))+(($A216+9)-INDEX($E$12:$E$21,MATCH(($A216+9),$E$12:$E$21,1)))*(IFERROR(INDEX($F$12:$F$21,MATCH(($A216+9),$E$12:$E$21,1)+1),INDEX($F$12:$F$21,MATCH(($A216+9),$E$12:$E$21,1)))-INDEX($F$12:$F$21,MATCH(($A216+9),$E$12:$E$21,1)))/IF((IFERROR(INDEX($E$12:$E$21,MATCH(($A216+9),$E$12:$E$21,1)+1),INDEX($E$12:$E$21,MATCH(($A216+9),$E$12:$E$21,1))+1)-INDEX($E$12:$E$21,MATCH(($A216+9),$E$12:$E$21,1)))=0,1,IFERROR(INDEX($E$12:$E$21,MATCH(($A216+9),$E$12:$E$21,1)+1),INDEX($E$12:$E$21,MATCH(($A216+9),$E$12:$E$21,1))+1)-INDEX($E$12:$E$21,MATCH(($A216+9),$E$12:$E$21,1)))),$F$12))</f>
        <v/>
      </c>
    </row>
    <row r="217">
      <c r="A217" s="11">
        <v>190</v>
      </c>
      <c r="B217" s="30" t="str">
        <f>IF(($A217+0)&gt;$B$11, "", IFERROR((INDEX($F$12:$F$21,MATCH(($A217+0),$E$12:$E$21,1))+(($A217+0)-INDEX($E$12:$E$21,MATCH(($A217+0),$E$12:$E$21,1)))*(IFERROR(INDEX($F$12:$F$21,MATCH(($A217+0),$E$12:$E$21,1)+1),INDEX($F$12:$F$21,MATCH(($A217+0),$E$12:$E$21,1)))-INDEX($F$12:$F$21,MATCH(($A217+0),$E$12:$E$21,1)))/IF((IFERROR(INDEX($E$12:$E$21,MATCH(($A217+0),$E$12:$E$21,1)+1),INDEX($E$12:$E$21,MATCH(($A217+0),$E$12:$E$21,1))+1)-INDEX($E$12:$E$21,MATCH(($A217+0),$E$12:$E$21,1)))=0,1,IFERROR(INDEX($E$12:$E$21,MATCH(($A217+0),$E$12:$E$21,1)+1),INDEX($E$12:$E$21,MATCH(($A217+0),$E$12:$E$21,1))+1)-INDEX($E$12:$E$21,MATCH(($A217+0),$E$12:$E$21,1)))),$F$12))</f>
        <v/>
      </c>
      <c r="C217" s="30" t="str">
        <f>IF(($A217+1)&gt;$B$11, "", IFERROR((INDEX($F$12:$F$21,MATCH(($A217+1),$E$12:$E$21,1))+(($A217+1)-INDEX($E$12:$E$21,MATCH(($A217+1),$E$12:$E$21,1)))*(IFERROR(INDEX($F$12:$F$21,MATCH(($A217+1),$E$12:$E$21,1)+1),INDEX($F$12:$F$21,MATCH(($A217+1),$E$12:$E$21,1)))-INDEX($F$12:$F$21,MATCH(($A217+1),$E$12:$E$21,1)))/IF((IFERROR(INDEX($E$12:$E$21,MATCH(($A217+1),$E$12:$E$21,1)+1),INDEX($E$12:$E$21,MATCH(($A217+1),$E$12:$E$21,1))+1)-INDEX($E$12:$E$21,MATCH(($A217+1),$E$12:$E$21,1)))=0,1,IFERROR(INDEX($E$12:$E$21,MATCH(($A217+1),$E$12:$E$21,1)+1),INDEX($E$12:$E$21,MATCH(($A217+1),$E$12:$E$21,1))+1)-INDEX($E$12:$E$21,MATCH(($A217+1),$E$12:$E$21,1)))),$F$12))</f>
        <v/>
      </c>
      <c r="D217" s="30" t="str">
        <f>IF(($A217+2)&gt;$B$11, "", IFERROR((INDEX($F$12:$F$21,MATCH(($A217+2),$E$12:$E$21,1))+(($A217+2)-INDEX($E$12:$E$21,MATCH(($A217+2),$E$12:$E$21,1)))*(IFERROR(INDEX($F$12:$F$21,MATCH(($A217+2),$E$12:$E$21,1)+1),INDEX($F$12:$F$21,MATCH(($A217+2),$E$12:$E$21,1)))-INDEX($F$12:$F$21,MATCH(($A217+2),$E$12:$E$21,1)))/IF((IFERROR(INDEX($E$12:$E$21,MATCH(($A217+2),$E$12:$E$21,1)+1),INDEX($E$12:$E$21,MATCH(($A217+2),$E$12:$E$21,1))+1)-INDEX($E$12:$E$21,MATCH(($A217+2),$E$12:$E$21,1)))=0,1,IFERROR(INDEX($E$12:$E$21,MATCH(($A217+2),$E$12:$E$21,1)+1),INDEX($E$12:$E$21,MATCH(($A217+2),$E$12:$E$21,1))+1)-INDEX($E$12:$E$21,MATCH(($A217+2),$E$12:$E$21,1)))),$F$12))</f>
        <v/>
      </c>
      <c r="E217" s="30" t="str">
        <f>IF(($A217+3)&gt;$B$11, "", IFERROR((INDEX($F$12:$F$21,MATCH(($A217+3),$E$12:$E$21,1))+(($A217+3)-INDEX($E$12:$E$21,MATCH(($A217+3),$E$12:$E$21,1)))*(IFERROR(INDEX($F$12:$F$21,MATCH(($A217+3),$E$12:$E$21,1)+1),INDEX($F$12:$F$21,MATCH(($A217+3),$E$12:$E$21,1)))-INDEX($F$12:$F$21,MATCH(($A217+3),$E$12:$E$21,1)))/IF((IFERROR(INDEX($E$12:$E$21,MATCH(($A217+3),$E$12:$E$21,1)+1),INDEX($E$12:$E$21,MATCH(($A217+3),$E$12:$E$21,1))+1)-INDEX($E$12:$E$21,MATCH(($A217+3),$E$12:$E$21,1)))=0,1,IFERROR(INDEX($E$12:$E$21,MATCH(($A217+3),$E$12:$E$21,1)+1),INDEX($E$12:$E$21,MATCH(($A217+3),$E$12:$E$21,1))+1)-INDEX($E$12:$E$21,MATCH(($A217+3),$E$12:$E$21,1)))),$F$12))</f>
        <v/>
      </c>
      <c r="F217" s="30" t="str">
        <f>IF(($A217+4)&gt;$B$11, "", IFERROR((INDEX($F$12:$F$21,MATCH(($A217+4),$E$12:$E$21,1))+(($A217+4)-INDEX($E$12:$E$21,MATCH(($A217+4),$E$12:$E$21,1)))*(IFERROR(INDEX($F$12:$F$21,MATCH(($A217+4),$E$12:$E$21,1)+1),INDEX($F$12:$F$21,MATCH(($A217+4),$E$12:$E$21,1)))-INDEX($F$12:$F$21,MATCH(($A217+4),$E$12:$E$21,1)))/IF((IFERROR(INDEX($E$12:$E$21,MATCH(($A217+4),$E$12:$E$21,1)+1),INDEX($E$12:$E$21,MATCH(($A217+4),$E$12:$E$21,1))+1)-INDEX($E$12:$E$21,MATCH(($A217+4),$E$12:$E$21,1)))=0,1,IFERROR(INDEX($E$12:$E$21,MATCH(($A217+4),$E$12:$E$21,1)+1),INDEX($E$12:$E$21,MATCH(($A217+4),$E$12:$E$21,1))+1)-INDEX($E$12:$E$21,MATCH(($A217+4),$E$12:$E$21,1)))),$F$12))</f>
        <v/>
      </c>
      <c r="G217" s="30" t="str">
        <f>IF(($A217+5)&gt;$B$11, "", IFERROR((INDEX($F$12:$F$21,MATCH(($A217+5),$E$12:$E$21,1))+(($A217+5)-INDEX($E$12:$E$21,MATCH(($A217+5),$E$12:$E$21,1)))*(IFERROR(INDEX($F$12:$F$21,MATCH(($A217+5),$E$12:$E$21,1)+1),INDEX($F$12:$F$21,MATCH(($A217+5),$E$12:$E$21,1)))-INDEX($F$12:$F$21,MATCH(($A217+5),$E$12:$E$21,1)))/IF((IFERROR(INDEX($E$12:$E$21,MATCH(($A217+5),$E$12:$E$21,1)+1),INDEX($E$12:$E$21,MATCH(($A217+5),$E$12:$E$21,1))+1)-INDEX($E$12:$E$21,MATCH(($A217+5),$E$12:$E$21,1)))=0,1,IFERROR(INDEX($E$12:$E$21,MATCH(($A217+5),$E$12:$E$21,1)+1),INDEX($E$12:$E$21,MATCH(($A217+5),$E$12:$E$21,1))+1)-INDEX($E$12:$E$21,MATCH(($A217+5),$E$12:$E$21,1)))),$F$12))</f>
        <v/>
      </c>
      <c r="H217" s="30" t="str">
        <f>IF(($A217+6)&gt;$B$11, "", IFERROR((INDEX($F$12:$F$21,MATCH(($A217+6),$E$12:$E$21,1))+(($A217+6)-INDEX($E$12:$E$21,MATCH(($A217+6),$E$12:$E$21,1)))*(IFERROR(INDEX($F$12:$F$21,MATCH(($A217+6),$E$12:$E$21,1)+1),INDEX($F$12:$F$21,MATCH(($A217+6),$E$12:$E$21,1)))-INDEX($F$12:$F$21,MATCH(($A217+6),$E$12:$E$21,1)))/IF((IFERROR(INDEX($E$12:$E$21,MATCH(($A217+6),$E$12:$E$21,1)+1),INDEX($E$12:$E$21,MATCH(($A217+6),$E$12:$E$21,1))+1)-INDEX($E$12:$E$21,MATCH(($A217+6),$E$12:$E$21,1)))=0,1,IFERROR(INDEX($E$12:$E$21,MATCH(($A217+6),$E$12:$E$21,1)+1),INDEX($E$12:$E$21,MATCH(($A217+6),$E$12:$E$21,1))+1)-INDEX($E$12:$E$21,MATCH(($A217+6),$E$12:$E$21,1)))),$F$12))</f>
        <v/>
      </c>
      <c r="I217" s="30" t="str">
        <f>IF(($A217+7)&gt;$B$11, "", IFERROR((INDEX($F$12:$F$21,MATCH(($A217+7),$E$12:$E$21,1))+(($A217+7)-INDEX($E$12:$E$21,MATCH(($A217+7),$E$12:$E$21,1)))*(IFERROR(INDEX($F$12:$F$21,MATCH(($A217+7),$E$12:$E$21,1)+1),INDEX($F$12:$F$21,MATCH(($A217+7),$E$12:$E$21,1)))-INDEX($F$12:$F$21,MATCH(($A217+7),$E$12:$E$21,1)))/IF((IFERROR(INDEX($E$12:$E$21,MATCH(($A217+7),$E$12:$E$21,1)+1),INDEX($E$12:$E$21,MATCH(($A217+7),$E$12:$E$21,1))+1)-INDEX($E$12:$E$21,MATCH(($A217+7),$E$12:$E$21,1)))=0,1,IFERROR(INDEX($E$12:$E$21,MATCH(($A217+7),$E$12:$E$21,1)+1),INDEX($E$12:$E$21,MATCH(($A217+7),$E$12:$E$21,1))+1)-INDEX($E$12:$E$21,MATCH(($A217+7),$E$12:$E$21,1)))),$F$12))</f>
        <v/>
      </c>
      <c r="J217" s="30" t="str">
        <f>IF(($A217+8)&gt;$B$11, "", IFERROR((INDEX($F$12:$F$21,MATCH(($A217+8),$E$12:$E$21,1))+(($A217+8)-INDEX($E$12:$E$21,MATCH(($A217+8),$E$12:$E$21,1)))*(IFERROR(INDEX($F$12:$F$21,MATCH(($A217+8),$E$12:$E$21,1)+1),INDEX($F$12:$F$21,MATCH(($A217+8),$E$12:$E$21,1)))-INDEX($F$12:$F$21,MATCH(($A217+8),$E$12:$E$21,1)))/IF((IFERROR(INDEX($E$12:$E$21,MATCH(($A217+8),$E$12:$E$21,1)+1),INDEX($E$12:$E$21,MATCH(($A217+8),$E$12:$E$21,1))+1)-INDEX($E$12:$E$21,MATCH(($A217+8),$E$12:$E$21,1)))=0,1,IFERROR(INDEX($E$12:$E$21,MATCH(($A217+8),$E$12:$E$21,1)+1),INDEX($E$12:$E$21,MATCH(($A217+8),$E$12:$E$21,1))+1)-INDEX($E$12:$E$21,MATCH(($A217+8),$E$12:$E$21,1)))),$F$12))</f>
        <v/>
      </c>
      <c r="K217" s="30" t="str">
        <f>IF(($A217+9)&gt;$B$11, "", IFERROR((INDEX($F$12:$F$21,MATCH(($A217+9),$E$12:$E$21,1))+(($A217+9)-INDEX($E$12:$E$21,MATCH(($A217+9),$E$12:$E$21,1)))*(IFERROR(INDEX($F$12:$F$21,MATCH(($A217+9),$E$12:$E$21,1)+1),INDEX($F$12:$F$21,MATCH(($A217+9),$E$12:$E$21,1)))-INDEX($F$12:$F$21,MATCH(($A217+9),$E$12:$E$21,1)))/IF((IFERROR(INDEX($E$12:$E$21,MATCH(($A217+9),$E$12:$E$21,1)+1),INDEX($E$12:$E$21,MATCH(($A217+9),$E$12:$E$21,1))+1)-INDEX($E$12:$E$21,MATCH(($A217+9),$E$12:$E$21,1)))=0,1,IFERROR(INDEX($E$12:$E$21,MATCH(($A217+9),$E$12:$E$21,1)+1),INDEX($E$12:$E$21,MATCH(($A217+9),$E$12:$E$21,1))+1)-INDEX($E$12:$E$21,MATCH(($A217+9),$E$12:$E$21,1)))),$F$12))</f>
        <v/>
      </c>
    </row>
    <row r="218">
      <c r="A218" s="11">
        <v>200</v>
      </c>
      <c r="B218" s="30" t="str">
        <f>IF(($A218+0)&gt;$B$11, "", IFERROR((INDEX($F$12:$F$21,MATCH(($A218+0),$E$12:$E$21,1))+(($A218+0)-INDEX($E$12:$E$21,MATCH(($A218+0),$E$12:$E$21,1)))*(IFERROR(INDEX($F$12:$F$21,MATCH(($A218+0),$E$12:$E$21,1)+1),INDEX($F$12:$F$21,MATCH(($A218+0),$E$12:$E$21,1)))-INDEX($F$12:$F$21,MATCH(($A218+0),$E$12:$E$21,1)))/IF((IFERROR(INDEX($E$12:$E$21,MATCH(($A218+0),$E$12:$E$21,1)+1),INDEX($E$12:$E$21,MATCH(($A218+0),$E$12:$E$21,1))+1)-INDEX($E$12:$E$21,MATCH(($A218+0),$E$12:$E$21,1)))=0,1,IFERROR(INDEX($E$12:$E$21,MATCH(($A218+0),$E$12:$E$21,1)+1),INDEX($E$12:$E$21,MATCH(($A218+0),$E$12:$E$21,1))+1)-INDEX($E$12:$E$21,MATCH(($A218+0),$E$12:$E$21,1)))),$F$12))</f>
        <v/>
      </c>
      <c r="C218" s="30" t="str">
        <f>IF(($A218+1)&gt;$B$11, "", IFERROR((INDEX($F$12:$F$21,MATCH(($A218+1),$E$12:$E$21,1))+(($A218+1)-INDEX($E$12:$E$21,MATCH(($A218+1),$E$12:$E$21,1)))*(IFERROR(INDEX($F$12:$F$21,MATCH(($A218+1),$E$12:$E$21,1)+1),INDEX($F$12:$F$21,MATCH(($A218+1),$E$12:$E$21,1)))-INDEX($F$12:$F$21,MATCH(($A218+1),$E$12:$E$21,1)))/IF((IFERROR(INDEX($E$12:$E$21,MATCH(($A218+1),$E$12:$E$21,1)+1),INDEX($E$12:$E$21,MATCH(($A218+1),$E$12:$E$21,1))+1)-INDEX($E$12:$E$21,MATCH(($A218+1),$E$12:$E$21,1)))=0,1,IFERROR(INDEX($E$12:$E$21,MATCH(($A218+1),$E$12:$E$21,1)+1),INDEX($E$12:$E$21,MATCH(($A218+1),$E$12:$E$21,1))+1)-INDEX($E$12:$E$21,MATCH(($A218+1),$E$12:$E$21,1)))),$F$12))</f>
        <v/>
      </c>
      <c r="D218" s="30" t="str">
        <f>IF(($A218+2)&gt;$B$11, "", IFERROR((INDEX($F$12:$F$21,MATCH(($A218+2),$E$12:$E$21,1))+(($A218+2)-INDEX($E$12:$E$21,MATCH(($A218+2),$E$12:$E$21,1)))*(IFERROR(INDEX($F$12:$F$21,MATCH(($A218+2),$E$12:$E$21,1)+1),INDEX($F$12:$F$21,MATCH(($A218+2),$E$12:$E$21,1)))-INDEX($F$12:$F$21,MATCH(($A218+2),$E$12:$E$21,1)))/IF((IFERROR(INDEX($E$12:$E$21,MATCH(($A218+2),$E$12:$E$21,1)+1),INDEX($E$12:$E$21,MATCH(($A218+2),$E$12:$E$21,1))+1)-INDEX($E$12:$E$21,MATCH(($A218+2),$E$12:$E$21,1)))=0,1,IFERROR(INDEX($E$12:$E$21,MATCH(($A218+2),$E$12:$E$21,1)+1),INDEX($E$12:$E$21,MATCH(($A218+2),$E$12:$E$21,1))+1)-INDEX($E$12:$E$21,MATCH(($A218+2),$E$12:$E$21,1)))),$F$12))</f>
        <v/>
      </c>
      <c r="E218" s="30" t="str">
        <f>IF(($A218+3)&gt;$B$11, "", IFERROR((INDEX($F$12:$F$21,MATCH(($A218+3),$E$12:$E$21,1))+(($A218+3)-INDEX($E$12:$E$21,MATCH(($A218+3),$E$12:$E$21,1)))*(IFERROR(INDEX($F$12:$F$21,MATCH(($A218+3),$E$12:$E$21,1)+1),INDEX($F$12:$F$21,MATCH(($A218+3),$E$12:$E$21,1)))-INDEX($F$12:$F$21,MATCH(($A218+3),$E$12:$E$21,1)))/IF((IFERROR(INDEX($E$12:$E$21,MATCH(($A218+3),$E$12:$E$21,1)+1),INDEX($E$12:$E$21,MATCH(($A218+3),$E$12:$E$21,1))+1)-INDEX($E$12:$E$21,MATCH(($A218+3),$E$12:$E$21,1)))=0,1,IFERROR(INDEX($E$12:$E$21,MATCH(($A218+3),$E$12:$E$21,1)+1),INDEX($E$12:$E$21,MATCH(($A218+3),$E$12:$E$21,1))+1)-INDEX($E$12:$E$21,MATCH(($A218+3),$E$12:$E$21,1)))),$F$12))</f>
        <v/>
      </c>
      <c r="F218" s="30" t="str">
        <f>IF(($A218+4)&gt;$B$11, "", IFERROR((INDEX($F$12:$F$21,MATCH(($A218+4),$E$12:$E$21,1))+(($A218+4)-INDEX($E$12:$E$21,MATCH(($A218+4),$E$12:$E$21,1)))*(IFERROR(INDEX($F$12:$F$21,MATCH(($A218+4),$E$12:$E$21,1)+1),INDEX($F$12:$F$21,MATCH(($A218+4),$E$12:$E$21,1)))-INDEX($F$12:$F$21,MATCH(($A218+4),$E$12:$E$21,1)))/IF((IFERROR(INDEX($E$12:$E$21,MATCH(($A218+4),$E$12:$E$21,1)+1),INDEX($E$12:$E$21,MATCH(($A218+4),$E$12:$E$21,1))+1)-INDEX($E$12:$E$21,MATCH(($A218+4),$E$12:$E$21,1)))=0,1,IFERROR(INDEX($E$12:$E$21,MATCH(($A218+4),$E$12:$E$21,1)+1),INDEX($E$12:$E$21,MATCH(($A218+4),$E$12:$E$21,1))+1)-INDEX($E$12:$E$21,MATCH(($A218+4),$E$12:$E$21,1)))),$F$12))</f>
        <v/>
      </c>
      <c r="G218" s="30" t="str">
        <f>IF(($A218+5)&gt;$B$11, "", IFERROR((INDEX($F$12:$F$21,MATCH(($A218+5),$E$12:$E$21,1))+(($A218+5)-INDEX($E$12:$E$21,MATCH(($A218+5),$E$12:$E$21,1)))*(IFERROR(INDEX($F$12:$F$21,MATCH(($A218+5),$E$12:$E$21,1)+1),INDEX($F$12:$F$21,MATCH(($A218+5),$E$12:$E$21,1)))-INDEX($F$12:$F$21,MATCH(($A218+5),$E$12:$E$21,1)))/IF((IFERROR(INDEX($E$12:$E$21,MATCH(($A218+5),$E$12:$E$21,1)+1),INDEX($E$12:$E$21,MATCH(($A218+5),$E$12:$E$21,1))+1)-INDEX($E$12:$E$21,MATCH(($A218+5),$E$12:$E$21,1)))=0,1,IFERROR(INDEX($E$12:$E$21,MATCH(($A218+5),$E$12:$E$21,1)+1),INDEX($E$12:$E$21,MATCH(($A218+5),$E$12:$E$21,1))+1)-INDEX($E$12:$E$21,MATCH(($A218+5),$E$12:$E$21,1)))),$F$12))</f>
        <v/>
      </c>
      <c r="H218" s="30" t="str">
        <f>IF(($A218+6)&gt;$B$11, "", IFERROR((INDEX($F$12:$F$21,MATCH(($A218+6),$E$12:$E$21,1))+(($A218+6)-INDEX($E$12:$E$21,MATCH(($A218+6),$E$12:$E$21,1)))*(IFERROR(INDEX($F$12:$F$21,MATCH(($A218+6),$E$12:$E$21,1)+1),INDEX($F$12:$F$21,MATCH(($A218+6),$E$12:$E$21,1)))-INDEX($F$12:$F$21,MATCH(($A218+6),$E$12:$E$21,1)))/IF((IFERROR(INDEX($E$12:$E$21,MATCH(($A218+6),$E$12:$E$21,1)+1),INDEX($E$12:$E$21,MATCH(($A218+6),$E$12:$E$21,1))+1)-INDEX($E$12:$E$21,MATCH(($A218+6),$E$12:$E$21,1)))=0,1,IFERROR(INDEX($E$12:$E$21,MATCH(($A218+6),$E$12:$E$21,1)+1),INDEX($E$12:$E$21,MATCH(($A218+6),$E$12:$E$21,1))+1)-INDEX($E$12:$E$21,MATCH(($A218+6),$E$12:$E$21,1)))),$F$12))</f>
        <v/>
      </c>
      <c r="I218" s="30" t="str">
        <f>IF(($A218+7)&gt;$B$11, "", IFERROR((INDEX($F$12:$F$21,MATCH(($A218+7),$E$12:$E$21,1))+(($A218+7)-INDEX($E$12:$E$21,MATCH(($A218+7),$E$12:$E$21,1)))*(IFERROR(INDEX($F$12:$F$21,MATCH(($A218+7),$E$12:$E$21,1)+1),INDEX($F$12:$F$21,MATCH(($A218+7),$E$12:$E$21,1)))-INDEX($F$12:$F$21,MATCH(($A218+7),$E$12:$E$21,1)))/IF((IFERROR(INDEX($E$12:$E$21,MATCH(($A218+7),$E$12:$E$21,1)+1),INDEX($E$12:$E$21,MATCH(($A218+7),$E$12:$E$21,1))+1)-INDEX($E$12:$E$21,MATCH(($A218+7),$E$12:$E$21,1)))=0,1,IFERROR(INDEX($E$12:$E$21,MATCH(($A218+7),$E$12:$E$21,1)+1),INDEX($E$12:$E$21,MATCH(($A218+7),$E$12:$E$21,1))+1)-INDEX($E$12:$E$21,MATCH(($A218+7),$E$12:$E$21,1)))),$F$12))</f>
        <v/>
      </c>
      <c r="J218" s="30" t="str">
        <f>IF(($A218+8)&gt;$B$11, "", IFERROR((INDEX($F$12:$F$21,MATCH(($A218+8),$E$12:$E$21,1))+(($A218+8)-INDEX($E$12:$E$21,MATCH(($A218+8),$E$12:$E$21,1)))*(IFERROR(INDEX($F$12:$F$21,MATCH(($A218+8),$E$12:$E$21,1)+1),INDEX($F$12:$F$21,MATCH(($A218+8),$E$12:$E$21,1)))-INDEX($F$12:$F$21,MATCH(($A218+8),$E$12:$E$21,1)))/IF((IFERROR(INDEX($E$12:$E$21,MATCH(($A218+8),$E$12:$E$21,1)+1),INDEX($E$12:$E$21,MATCH(($A218+8),$E$12:$E$21,1))+1)-INDEX($E$12:$E$21,MATCH(($A218+8),$E$12:$E$21,1)))=0,1,IFERROR(INDEX($E$12:$E$21,MATCH(($A218+8),$E$12:$E$21,1)+1),INDEX($E$12:$E$21,MATCH(($A218+8),$E$12:$E$21,1))+1)-INDEX($E$12:$E$21,MATCH(($A218+8),$E$12:$E$21,1)))),$F$12))</f>
        <v/>
      </c>
      <c r="K218" s="30" t="str">
        <f>IF(($A218+9)&gt;$B$11, "", IFERROR((INDEX($F$12:$F$21,MATCH(($A218+9),$E$12:$E$21,1))+(($A218+9)-INDEX($E$12:$E$21,MATCH(($A218+9),$E$12:$E$21,1)))*(IFERROR(INDEX($F$12:$F$21,MATCH(($A218+9),$E$12:$E$21,1)+1),INDEX($F$12:$F$21,MATCH(($A218+9),$E$12:$E$21,1)))-INDEX($F$12:$F$21,MATCH(($A218+9),$E$12:$E$21,1)))/IF((IFERROR(INDEX($E$12:$E$21,MATCH(($A218+9),$E$12:$E$21,1)+1),INDEX($E$12:$E$21,MATCH(($A218+9),$E$12:$E$21,1))+1)-INDEX($E$12:$E$21,MATCH(($A218+9),$E$12:$E$21,1)))=0,1,IFERROR(INDEX($E$12:$E$21,MATCH(($A218+9),$E$12:$E$21,1)+1),INDEX($E$12:$E$21,MATCH(($A218+9),$E$12:$E$21,1))+1)-INDEX($E$12:$E$21,MATCH(($A218+9),$E$12:$E$21,1)))),$F$12))</f>
        <v/>
      </c>
    </row>
    <row r="219">
      <c r="A219" s="11">
        <v>210</v>
      </c>
      <c r="B219" s="30" t="str">
        <f>IF(($A219+0)&gt;$B$11, "", IFERROR((INDEX($F$12:$F$21,MATCH(($A219+0),$E$12:$E$21,1))+(($A219+0)-INDEX($E$12:$E$21,MATCH(($A219+0),$E$12:$E$21,1)))*(IFERROR(INDEX($F$12:$F$21,MATCH(($A219+0),$E$12:$E$21,1)+1),INDEX($F$12:$F$21,MATCH(($A219+0),$E$12:$E$21,1)))-INDEX($F$12:$F$21,MATCH(($A219+0),$E$12:$E$21,1)))/IF((IFERROR(INDEX($E$12:$E$21,MATCH(($A219+0),$E$12:$E$21,1)+1),INDEX($E$12:$E$21,MATCH(($A219+0),$E$12:$E$21,1))+1)-INDEX($E$12:$E$21,MATCH(($A219+0),$E$12:$E$21,1)))=0,1,IFERROR(INDEX($E$12:$E$21,MATCH(($A219+0),$E$12:$E$21,1)+1),INDEX($E$12:$E$21,MATCH(($A219+0),$E$12:$E$21,1))+1)-INDEX($E$12:$E$21,MATCH(($A219+0),$E$12:$E$21,1)))),$F$12))</f>
        <v/>
      </c>
      <c r="C219" s="30" t="str">
        <f>IF(($A219+1)&gt;$B$11, "", IFERROR((INDEX($F$12:$F$21,MATCH(($A219+1),$E$12:$E$21,1))+(($A219+1)-INDEX($E$12:$E$21,MATCH(($A219+1),$E$12:$E$21,1)))*(IFERROR(INDEX($F$12:$F$21,MATCH(($A219+1),$E$12:$E$21,1)+1),INDEX($F$12:$F$21,MATCH(($A219+1),$E$12:$E$21,1)))-INDEX($F$12:$F$21,MATCH(($A219+1),$E$12:$E$21,1)))/IF((IFERROR(INDEX($E$12:$E$21,MATCH(($A219+1),$E$12:$E$21,1)+1),INDEX($E$12:$E$21,MATCH(($A219+1),$E$12:$E$21,1))+1)-INDEX($E$12:$E$21,MATCH(($A219+1),$E$12:$E$21,1)))=0,1,IFERROR(INDEX($E$12:$E$21,MATCH(($A219+1),$E$12:$E$21,1)+1),INDEX($E$12:$E$21,MATCH(($A219+1),$E$12:$E$21,1))+1)-INDEX($E$12:$E$21,MATCH(($A219+1),$E$12:$E$21,1)))),$F$12))</f>
        <v/>
      </c>
      <c r="D219" s="30" t="str">
        <f>IF(($A219+2)&gt;$B$11, "", IFERROR((INDEX($F$12:$F$21,MATCH(($A219+2),$E$12:$E$21,1))+(($A219+2)-INDEX($E$12:$E$21,MATCH(($A219+2),$E$12:$E$21,1)))*(IFERROR(INDEX($F$12:$F$21,MATCH(($A219+2),$E$12:$E$21,1)+1),INDEX($F$12:$F$21,MATCH(($A219+2),$E$12:$E$21,1)))-INDEX($F$12:$F$21,MATCH(($A219+2),$E$12:$E$21,1)))/IF((IFERROR(INDEX($E$12:$E$21,MATCH(($A219+2),$E$12:$E$21,1)+1),INDEX($E$12:$E$21,MATCH(($A219+2),$E$12:$E$21,1))+1)-INDEX($E$12:$E$21,MATCH(($A219+2),$E$12:$E$21,1)))=0,1,IFERROR(INDEX($E$12:$E$21,MATCH(($A219+2),$E$12:$E$21,1)+1),INDEX($E$12:$E$21,MATCH(($A219+2),$E$12:$E$21,1))+1)-INDEX($E$12:$E$21,MATCH(($A219+2),$E$12:$E$21,1)))),$F$12))</f>
        <v/>
      </c>
      <c r="E219" s="30" t="str">
        <f>IF(($A219+3)&gt;$B$11, "", IFERROR((INDEX($F$12:$F$21,MATCH(($A219+3),$E$12:$E$21,1))+(($A219+3)-INDEX($E$12:$E$21,MATCH(($A219+3),$E$12:$E$21,1)))*(IFERROR(INDEX($F$12:$F$21,MATCH(($A219+3),$E$12:$E$21,1)+1),INDEX($F$12:$F$21,MATCH(($A219+3),$E$12:$E$21,1)))-INDEX($F$12:$F$21,MATCH(($A219+3),$E$12:$E$21,1)))/IF((IFERROR(INDEX($E$12:$E$21,MATCH(($A219+3),$E$12:$E$21,1)+1),INDEX($E$12:$E$21,MATCH(($A219+3),$E$12:$E$21,1))+1)-INDEX($E$12:$E$21,MATCH(($A219+3),$E$12:$E$21,1)))=0,1,IFERROR(INDEX($E$12:$E$21,MATCH(($A219+3),$E$12:$E$21,1)+1),INDEX($E$12:$E$21,MATCH(($A219+3),$E$12:$E$21,1))+1)-INDEX($E$12:$E$21,MATCH(($A219+3),$E$12:$E$21,1)))),$F$12))</f>
        <v/>
      </c>
      <c r="F219" s="30" t="str">
        <f>IF(($A219+4)&gt;$B$11, "", IFERROR((INDEX($F$12:$F$21,MATCH(($A219+4),$E$12:$E$21,1))+(($A219+4)-INDEX($E$12:$E$21,MATCH(($A219+4),$E$12:$E$21,1)))*(IFERROR(INDEX($F$12:$F$21,MATCH(($A219+4),$E$12:$E$21,1)+1),INDEX($F$12:$F$21,MATCH(($A219+4),$E$12:$E$21,1)))-INDEX($F$12:$F$21,MATCH(($A219+4),$E$12:$E$21,1)))/IF((IFERROR(INDEX($E$12:$E$21,MATCH(($A219+4),$E$12:$E$21,1)+1),INDEX($E$12:$E$21,MATCH(($A219+4),$E$12:$E$21,1))+1)-INDEX($E$12:$E$21,MATCH(($A219+4),$E$12:$E$21,1)))=0,1,IFERROR(INDEX($E$12:$E$21,MATCH(($A219+4),$E$12:$E$21,1)+1),INDEX($E$12:$E$21,MATCH(($A219+4),$E$12:$E$21,1))+1)-INDEX($E$12:$E$21,MATCH(($A219+4),$E$12:$E$21,1)))),$F$12))</f>
        <v/>
      </c>
      <c r="G219" s="30" t="str">
        <f>IF(($A219+5)&gt;$B$11, "", IFERROR((INDEX($F$12:$F$21,MATCH(($A219+5),$E$12:$E$21,1))+(($A219+5)-INDEX($E$12:$E$21,MATCH(($A219+5),$E$12:$E$21,1)))*(IFERROR(INDEX($F$12:$F$21,MATCH(($A219+5),$E$12:$E$21,1)+1),INDEX($F$12:$F$21,MATCH(($A219+5),$E$12:$E$21,1)))-INDEX($F$12:$F$21,MATCH(($A219+5),$E$12:$E$21,1)))/IF((IFERROR(INDEX($E$12:$E$21,MATCH(($A219+5),$E$12:$E$21,1)+1),INDEX($E$12:$E$21,MATCH(($A219+5),$E$12:$E$21,1))+1)-INDEX($E$12:$E$21,MATCH(($A219+5),$E$12:$E$21,1)))=0,1,IFERROR(INDEX($E$12:$E$21,MATCH(($A219+5),$E$12:$E$21,1)+1),INDEX($E$12:$E$21,MATCH(($A219+5),$E$12:$E$21,1))+1)-INDEX($E$12:$E$21,MATCH(($A219+5),$E$12:$E$21,1)))),$F$12))</f>
        <v/>
      </c>
      <c r="H219" s="30" t="str">
        <f>IF(($A219+6)&gt;$B$11, "", IFERROR((INDEX($F$12:$F$21,MATCH(($A219+6),$E$12:$E$21,1))+(($A219+6)-INDEX($E$12:$E$21,MATCH(($A219+6),$E$12:$E$21,1)))*(IFERROR(INDEX($F$12:$F$21,MATCH(($A219+6),$E$12:$E$21,1)+1),INDEX($F$12:$F$21,MATCH(($A219+6),$E$12:$E$21,1)))-INDEX($F$12:$F$21,MATCH(($A219+6),$E$12:$E$21,1)))/IF((IFERROR(INDEX($E$12:$E$21,MATCH(($A219+6),$E$12:$E$21,1)+1),INDEX($E$12:$E$21,MATCH(($A219+6),$E$12:$E$21,1))+1)-INDEX($E$12:$E$21,MATCH(($A219+6),$E$12:$E$21,1)))=0,1,IFERROR(INDEX($E$12:$E$21,MATCH(($A219+6),$E$12:$E$21,1)+1),INDEX($E$12:$E$21,MATCH(($A219+6),$E$12:$E$21,1))+1)-INDEX($E$12:$E$21,MATCH(($A219+6),$E$12:$E$21,1)))),$F$12))</f>
        <v/>
      </c>
      <c r="I219" s="30" t="str">
        <f>IF(($A219+7)&gt;$B$11, "", IFERROR((INDEX($F$12:$F$21,MATCH(($A219+7),$E$12:$E$21,1))+(($A219+7)-INDEX($E$12:$E$21,MATCH(($A219+7),$E$12:$E$21,1)))*(IFERROR(INDEX($F$12:$F$21,MATCH(($A219+7),$E$12:$E$21,1)+1),INDEX($F$12:$F$21,MATCH(($A219+7),$E$12:$E$21,1)))-INDEX($F$12:$F$21,MATCH(($A219+7),$E$12:$E$21,1)))/IF((IFERROR(INDEX($E$12:$E$21,MATCH(($A219+7),$E$12:$E$21,1)+1),INDEX($E$12:$E$21,MATCH(($A219+7),$E$12:$E$21,1))+1)-INDEX($E$12:$E$21,MATCH(($A219+7),$E$12:$E$21,1)))=0,1,IFERROR(INDEX($E$12:$E$21,MATCH(($A219+7),$E$12:$E$21,1)+1),INDEX($E$12:$E$21,MATCH(($A219+7),$E$12:$E$21,1))+1)-INDEX($E$12:$E$21,MATCH(($A219+7),$E$12:$E$21,1)))),$F$12))</f>
        <v/>
      </c>
      <c r="J219" s="30" t="str">
        <f>IF(($A219+8)&gt;$B$11, "", IFERROR((INDEX($F$12:$F$21,MATCH(($A219+8),$E$12:$E$21,1))+(($A219+8)-INDEX($E$12:$E$21,MATCH(($A219+8),$E$12:$E$21,1)))*(IFERROR(INDEX($F$12:$F$21,MATCH(($A219+8),$E$12:$E$21,1)+1),INDEX($F$12:$F$21,MATCH(($A219+8),$E$12:$E$21,1)))-INDEX($F$12:$F$21,MATCH(($A219+8),$E$12:$E$21,1)))/IF((IFERROR(INDEX($E$12:$E$21,MATCH(($A219+8),$E$12:$E$21,1)+1),INDEX($E$12:$E$21,MATCH(($A219+8),$E$12:$E$21,1))+1)-INDEX($E$12:$E$21,MATCH(($A219+8),$E$12:$E$21,1)))=0,1,IFERROR(INDEX($E$12:$E$21,MATCH(($A219+8),$E$12:$E$21,1)+1),INDEX($E$12:$E$21,MATCH(($A219+8),$E$12:$E$21,1))+1)-INDEX($E$12:$E$21,MATCH(($A219+8),$E$12:$E$21,1)))),$F$12))</f>
        <v/>
      </c>
      <c r="K219" s="30" t="str">
        <f>IF(($A219+9)&gt;$B$11, "", IFERROR((INDEX($F$12:$F$21,MATCH(($A219+9),$E$12:$E$21,1))+(($A219+9)-INDEX($E$12:$E$21,MATCH(($A219+9),$E$12:$E$21,1)))*(IFERROR(INDEX($F$12:$F$21,MATCH(($A219+9),$E$12:$E$21,1)+1),INDEX($F$12:$F$21,MATCH(($A219+9),$E$12:$E$21,1)))-INDEX($F$12:$F$21,MATCH(($A219+9),$E$12:$E$21,1)))/IF((IFERROR(INDEX($E$12:$E$21,MATCH(($A219+9),$E$12:$E$21,1)+1),INDEX($E$12:$E$21,MATCH(($A219+9),$E$12:$E$21,1))+1)-INDEX($E$12:$E$21,MATCH(($A219+9),$E$12:$E$21,1)))=0,1,IFERROR(INDEX($E$12:$E$21,MATCH(($A219+9),$E$12:$E$21,1)+1),INDEX($E$12:$E$21,MATCH(($A219+9),$E$12:$E$21,1))+1)-INDEX($E$12:$E$21,MATCH(($A219+9),$E$12:$E$21,1)))),$F$12))</f>
        <v/>
      </c>
    </row>
    <row r="220">
      <c r="A220" s="11">
        <v>220</v>
      </c>
      <c r="B220" s="30" t="str">
        <f>IF(($A220+0)&gt;$B$11, "", IFERROR((INDEX($F$12:$F$21,MATCH(($A220+0),$E$12:$E$21,1))+(($A220+0)-INDEX($E$12:$E$21,MATCH(($A220+0),$E$12:$E$21,1)))*(IFERROR(INDEX($F$12:$F$21,MATCH(($A220+0),$E$12:$E$21,1)+1),INDEX($F$12:$F$21,MATCH(($A220+0),$E$12:$E$21,1)))-INDEX($F$12:$F$21,MATCH(($A220+0),$E$12:$E$21,1)))/IF((IFERROR(INDEX($E$12:$E$21,MATCH(($A220+0),$E$12:$E$21,1)+1),INDEX($E$12:$E$21,MATCH(($A220+0),$E$12:$E$21,1))+1)-INDEX($E$12:$E$21,MATCH(($A220+0),$E$12:$E$21,1)))=0,1,IFERROR(INDEX($E$12:$E$21,MATCH(($A220+0),$E$12:$E$21,1)+1),INDEX($E$12:$E$21,MATCH(($A220+0),$E$12:$E$21,1))+1)-INDEX($E$12:$E$21,MATCH(($A220+0),$E$12:$E$21,1)))),$F$12))</f>
        <v/>
      </c>
      <c r="C220" s="30" t="str">
        <f>IF(($A220+1)&gt;$B$11, "", IFERROR((INDEX($F$12:$F$21,MATCH(($A220+1),$E$12:$E$21,1))+(($A220+1)-INDEX($E$12:$E$21,MATCH(($A220+1),$E$12:$E$21,1)))*(IFERROR(INDEX($F$12:$F$21,MATCH(($A220+1),$E$12:$E$21,1)+1),INDEX($F$12:$F$21,MATCH(($A220+1),$E$12:$E$21,1)))-INDEX($F$12:$F$21,MATCH(($A220+1),$E$12:$E$21,1)))/IF((IFERROR(INDEX($E$12:$E$21,MATCH(($A220+1),$E$12:$E$21,1)+1),INDEX($E$12:$E$21,MATCH(($A220+1),$E$12:$E$21,1))+1)-INDEX($E$12:$E$21,MATCH(($A220+1),$E$12:$E$21,1)))=0,1,IFERROR(INDEX($E$12:$E$21,MATCH(($A220+1),$E$12:$E$21,1)+1),INDEX($E$12:$E$21,MATCH(($A220+1),$E$12:$E$21,1))+1)-INDEX($E$12:$E$21,MATCH(($A220+1),$E$12:$E$21,1)))),$F$12))</f>
        <v/>
      </c>
      <c r="D220" s="30" t="str">
        <f>IF(($A220+2)&gt;$B$11, "", IFERROR((INDEX($F$12:$F$21,MATCH(($A220+2),$E$12:$E$21,1))+(($A220+2)-INDEX($E$12:$E$21,MATCH(($A220+2),$E$12:$E$21,1)))*(IFERROR(INDEX($F$12:$F$21,MATCH(($A220+2),$E$12:$E$21,1)+1),INDEX($F$12:$F$21,MATCH(($A220+2),$E$12:$E$21,1)))-INDEX($F$12:$F$21,MATCH(($A220+2),$E$12:$E$21,1)))/IF((IFERROR(INDEX($E$12:$E$21,MATCH(($A220+2),$E$12:$E$21,1)+1),INDEX($E$12:$E$21,MATCH(($A220+2),$E$12:$E$21,1))+1)-INDEX($E$12:$E$21,MATCH(($A220+2),$E$12:$E$21,1)))=0,1,IFERROR(INDEX($E$12:$E$21,MATCH(($A220+2),$E$12:$E$21,1)+1),INDEX($E$12:$E$21,MATCH(($A220+2),$E$12:$E$21,1))+1)-INDEX($E$12:$E$21,MATCH(($A220+2),$E$12:$E$21,1)))),$F$12))</f>
        <v/>
      </c>
      <c r="E220" s="30" t="str">
        <f>IF(($A220+3)&gt;$B$11, "", IFERROR((INDEX($F$12:$F$21,MATCH(($A220+3),$E$12:$E$21,1))+(($A220+3)-INDEX($E$12:$E$21,MATCH(($A220+3),$E$12:$E$21,1)))*(IFERROR(INDEX($F$12:$F$21,MATCH(($A220+3),$E$12:$E$21,1)+1),INDEX($F$12:$F$21,MATCH(($A220+3),$E$12:$E$21,1)))-INDEX($F$12:$F$21,MATCH(($A220+3),$E$12:$E$21,1)))/IF((IFERROR(INDEX($E$12:$E$21,MATCH(($A220+3),$E$12:$E$21,1)+1),INDEX($E$12:$E$21,MATCH(($A220+3),$E$12:$E$21,1))+1)-INDEX($E$12:$E$21,MATCH(($A220+3),$E$12:$E$21,1)))=0,1,IFERROR(INDEX($E$12:$E$21,MATCH(($A220+3),$E$12:$E$21,1)+1),INDEX($E$12:$E$21,MATCH(($A220+3),$E$12:$E$21,1))+1)-INDEX($E$12:$E$21,MATCH(($A220+3),$E$12:$E$21,1)))),$F$12))</f>
        <v/>
      </c>
      <c r="F220" s="30" t="str">
        <f>IF(($A220+4)&gt;$B$11, "", IFERROR((INDEX($F$12:$F$21,MATCH(($A220+4),$E$12:$E$21,1))+(($A220+4)-INDEX($E$12:$E$21,MATCH(($A220+4),$E$12:$E$21,1)))*(IFERROR(INDEX($F$12:$F$21,MATCH(($A220+4),$E$12:$E$21,1)+1),INDEX($F$12:$F$21,MATCH(($A220+4),$E$12:$E$21,1)))-INDEX($F$12:$F$21,MATCH(($A220+4),$E$12:$E$21,1)))/IF((IFERROR(INDEX($E$12:$E$21,MATCH(($A220+4),$E$12:$E$21,1)+1),INDEX($E$12:$E$21,MATCH(($A220+4),$E$12:$E$21,1))+1)-INDEX($E$12:$E$21,MATCH(($A220+4),$E$12:$E$21,1)))=0,1,IFERROR(INDEX($E$12:$E$21,MATCH(($A220+4),$E$12:$E$21,1)+1),INDEX($E$12:$E$21,MATCH(($A220+4),$E$12:$E$21,1))+1)-INDEX($E$12:$E$21,MATCH(($A220+4),$E$12:$E$21,1)))),$F$12))</f>
        <v/>
      </c>
      <c r="G220" s="30" t="str">
        <f>IF(($A220+5)&gt;$B$11, "", IFERROR((INDEX($F$12:$F$21,MATCH(($A220+5),$E$12:$E$21,1))+(($A220+5)-INDEX($E$12:$E$21,MATCH(($A220+5),$E$12:$E$21,1)))*(IFERROR(INDEX($F$12:$F$21,MATCH(($A220+5),$E$12:$E$21,1)+1),INDEX($F$12:$F$21,MATCH(($A220+5),$E$12:$E$21,1)))-INDEX($F$12:$F$21,MATCH(($A220+5),$E$12:$E$21,1)))/IF((IFERROR(INDEX($E$12:$E$21,MATCH(($A220+5),$E$12:$E$21,1)+1),INDEX($E$12:$E$21,MATCH(($A220+5),$E$12:$E$21,1))+1)-INDEX($E$12:$E$21,MATCH(($A220+5),$E$12:$E$21,1)))=0,1,IFERROR(INDEX($E$12:$E$21,MATCH(($A220+5),$E$12:$E$21,1)+1),INDEX($E$12:$E$21,MATCH(($A220+5),$E$12:$E$21,1))+1)-INDEX($E$12:$E$21,MATCH(($A220+5),$E$12:$E$21,1)))),$F$12))</f>
        <v/>
      </c>
      <c r="H220" s="30" t="str">
        <f>IF(($A220+6)&gt;$B$11, "", IFERROR((INDEX($F$12:$F$21,MATCH(($A220+6),$E$12:$E$21,1))+(($A220+6)-INDEX($E$12:$E$21,MATCH(($A220+6),$E$12:$E$21,1)))*(IFERROR(INDEX($F$12:$F$21,MATCH(($A220+6),$E$12:$E$21,1)+1),INDEX($F$12:$F$21,MATCH(($A220+6),$E$12:$E$21,1)))-INDEX($F$12:$F$21,MATCH(($A220+6),$E$12:$E$21,1)))/IF((IFERROR(INDEX($E$12:$E$21,MATCH(($A220+6),$E$12:$E$21,1)+1),INDEX($E$12:$E$21,MATCH(($A220+6),$E$12:$E$21,1))+1)-INDEX($E$12:$E$21,MATCH(($A220+6),$E$12:$E$21,1)))=0,1,IFERROR(INDEX($E$12:$E$21,MATCH(($A220+6),$E$12:$E$21,1)+1),INDEX($E$12:$E$21,MATCH(($A220+6),$E$12:$E$21,1))+1)-INDEX($E$12:$E$21,MATCH(($A220+6),$E$12:$E$21,1)))),$F$12))</f>
        <v/>
      </c>
      <c r="I220" s="30" t="str">
        <f>IF(($A220+7)&gt;$B$11, "", IFERROR((INDEX($F$12:$F$21,MATCH(($A220+7),$E$12:$E$21,1))+(($A220+7)-INDEX($E$12:$E$21,MATCH(($A220+7),$E$12:$E$21,1)))*(IFERROR(INDEX($F$12:$F$21,MATCH(($A220+7),$E$12:$E$21,1)+1),INDEX($F$12:$F$21,MATCH(($A220+7),$E$12:$E$21,1)))-INDEX($F$12:$F$21,MATCH(($A220+7),$E$12:$E$21,1)))/IF((IFERROR(INDEX($E$12:$E$21,MATCH(($A220+7),$E$12:$E$21,1)+1),INDEX($E$12:$E$21,MATCH(($A220+7),$E$12:$E$21,1))+1)-INDEX($E$12:$E$21,MATCH(($A220+7),$E$12:$E$21,1)))=0,1,IFERROR(INDEX($E$12:$E$21,MATCH(($A220+7),$E$12:$E$21,1)+1),INDEX($E$12:$E$21,MATCH(($A220+7),$E$12:$E$21,1))+1)-INDEX($E$12:$E$21,MATCH(($A220+7),$E$12:$E$21,1)))),$F$12))</f>
        <v/>
      </c>
      <c r="J220" s="30" t="str">
        <f>IF(($A220+8)&gt;$B$11, "", IFERROR((INDEX($F$12:$F$21,MATCH(($A220+8),$E$12:$E$21,1))+(($A220+8)-INDEX($E$12:$E$21,MATCH(($A220+8),$E$12:$E$21,1)))*(IFERROR(INDEX($F$12:$F$21,MATCH(($A220+8),$E$12:$E$21,1)+1),INDEX($F$12:$F$21,MATCH(($A220+8),$E$12:$E$21,1)))-INDEX($F$12:$F$21,MATCH(($A220+8),$E$12:$E$21,1)))/IF((IFERROR(INDEX($E$12:$E$21,MATCH(($A220+8),$E$12:$E$21,1)+1),INDEX($E$12:$E$21,MATCH(($A220+8),$E$12:$E$21,1))+1)-INDEX($E$12:$E$21,MATCH(($A220+8),$E$12:$E$21,1)))=0,1,IFERROR(INDEX($E$12:$E$21,MATCH(($A220+8),$E$12:$E$21,1)+1),INDEX($E$12:$E$21,MATCH(($A220+8),$E$12:$E$21,1))+1)-INDEX($E$12:$E$21,MATCH(($A220+8),$E$12:$E$21,1)))),$F$12))</f>
        <v/>
      </c>
      <c r="K220" s="30" t="str">
        <f>IF(($A220+9)&gt;$B$11, "", IFERROR((INDEX($F$12:$F$21,MATCH(($A220+9),$E$12:$E$21,1))+(($A220+9)-INDEX($E$12:$E$21,MATCH(($A220+9),$E$12:$E$21,1)))*(IFERROR(INDEX($F$12:$F$21,MATCH(($A220+9),$E$12:$E$21,1)+1),INDEX($F$12:$F$21,MATCH(($A220+9),$E$12:$E$21,1)))-INDEX($F$12:$F$21,MATCH(($A220+9),$E$12:$E$21,1)))/IF((IFERROR(INDEX($E$12:$E$21,MATCH(($A220+9),$E$12:$E$21,1)+1),INDEX($E$12:$E$21,MATCH(($A220+9),$E$12:$E$21,1))+1)-INDEX($E$12:$E$21,MATCH(($A220+9),$E$12:$E$21,1)))=0,1,IFERROR(INDEX($E$12:$E$21,MATCH(($A220+9),$E$12:$E$21,1)+1),INDEX($E$12:$E$21,MATCH(($A220+9),$E$12:$E$21,1))+1)-INDEX($E$12:$E$21,MATCH(($A220+9),$E$12:$E$21,1)))),$F$12))</f>
        <v/>
      </c>
    </row>
    <row r="221">
      <c r="A221" s="11">
        <v>230</v>
      </c>
      <c r="B221" s="30" t="str">
        <f>IF(($A221+0)&gt;$B$11, "", IFERROR((INDEX($F$12:$F$21,MATCH(($A221+0),$E$12:$E$21,1))+(($A221+0)-INDEX($E$12:$E$21,MATCH(($A221+0),$E$12:$E$21,1)))*(IFERROR(INDEX($F$12:$F$21,MATCH(($A221+0),$E$12:$E$21,1)+1),INDEX($F$12:$F$21,MATCH(($A221+0),$E$12:$E$21,1)))-INDEX($F$12:$F$21,MATCH(($A221+0),$E$12:$E$21,1)))/IF((IFERROR(INDEX($E$12:$E$21,MATCH(($A221+0),$E$12:$E$21,1)+1),INDEX($E$12:$E$21,MATCH(($A221+0),$E$12:$E$21,1))+1)-INDEX($E$12:$E$21,MATCH(($A221+0),$E$12:$E$21,1)))=0,1,IFERROR(INDEX($E$12:$E$21,MATCH(($A221+0),$E$12:$E$21,1)+1),INDEX($E$12:$E$21,MATCH(($A221+0),$E$12:$E$21,1))+1)-INDEX($E$12:$E$21,MATCH(($A221+0),$E$12:$E$21,1)))),$F$12))</f>
        <v/>
      </c>
      <c r="C221" s="30" t="str">
        <f>IF(($A221+1)&gt;$B$11, "", IFERROR((INDEX($F$12:$F$21,MATCH(($A221+1),$E$12:$E$21,1))+(($A221+1)-INDEX($E$12:$E$21,MATCH(($A221+1),$E$12:$E$21,1)))*(IFERROR(INDEX($F$12:$F$21,MATCH(($A221+1),$E$12:$E$21,1)+1),INDEX($F$12:$F$21,MATCH(($A221+1),$E$12:$E$21,1)))-INDEX($F$12:$F$21,MATCH(($A221+1),$E$12:$E$21,1)))/IF((IFERROR(INDEX($E$12:$E$21,MATCH(($A221+1),$E$12:$E$21,1)+1),INDEX($E$12:$E$21,MATCH(($A221+1),$E$12:$E$21,1))+1)-INDEX($E$12:$E$21,MATCH(($A221+1),$E$12:$E$21,1)))=0,1,IFERROR(INDEX($E$12:$E$21,MATCH(($A221+1),$E$12:$E$21,1)+1),INDEX($E$12:$E$21,MATCH(($A221+1),$E$12:$E$21,1))+1)-INDEX($E$12:$E$21,MATCH(($A221+1),$E$12:$E$21,1)))),$F$12))</f>
        <v/>
      </c>
      <c r="D221" s="30" t="str">
        <f>IF(($A221+2)&gt;$B$11, "", IFERROR((INDEX($F$12:$F$21,MATCH(($A221+2),$E$12:$E$21,1))+(($A221+2)-INDEX($E$12:$E$21,MATCH(($A221+2),$E$12:$E$21,1)))*(IFERROR(INDEX($F$12:$F$21,MATCH(($A221+2),$E$12:$E$21,1)+1),INDEX($F$12:$F$21,MATCH(($A221+2),$E$12:$E$21,1)))-INDEX($F$12:$F$21,MATCH(($A221+2),$E$12:$E$21,1)))/IF((IFERROR(INDEX($E$12:$E$21,MATCH(($A221+2),$E$12:$E$21,1)+1),INDEX($E$12:$E$21,MATCH(($A221+2),$E$12:$E$21,1))+1)-INDEX($E$12:$E$21,MATCH(($A221+2),$E$12:$E$21,1)))=0,1,IFERROR(INDEX($E$12:$E$21,MATCH(($A221+2),$E$12:$E$21,1)+1),INDEX($E$12:$E$21,MATCH(($A221+2),$E$12:$E$21,1))+1)-INDEX($E$12:$E$21,MATCH(($A221+2),$E$12:$E$21,1)))),$F$12))</f>
        <v/>
      </c>
      <c r="E221" s="30" t="str">
        <f>IF(($A221+3)&gt;$B$11, "", IFERROR((INDEX($F$12:$F$21,MATCH(($A221+3),$E$12:$E$21,1))+(($A221+3)-INDEX($E$12:$E$21,MATCH(($A221+3),$E$12:$E$21,1)))*(IFERROR(INDEX($F$12:$F$21,MATCH(($A221+3),$E$12:$E$21,1)+1),INDEX($F$12:$F$21,MATCH(($A221+3),$E$12:$E$21,1)))-INDEX($F$12:$F$21,MATCH(($A221+3),$E$12:$E$21,1)))/IF((IFERROR(INDEX($E$12:$E$21,MATCH(($A221+3),$E$12:$E$21,1)+1),INDEX($E$12:$E$21,MATCH(($A221+3),$E$12:$E$21,1))+1)-INDEX($E$12:$E$21,MATCH(($A221+3),$E$12:$E$21,1)))=0,1,IFERROR(INDEX($E$12:$E$21,MATCH(($A221+3),$E$12:$E$21,1)+1),INDEX($E$12:$E$21,MATCH(($A221+3),$E$12:$E$21,1))+1)-INDEX($E$12:$E$21,MATCH(($A221+3),$E$12:$E$21,1)))),$F$12))</f>
        <v/>
      </c>
      <c r="F221" s="30" t="str">
        <f>IF(($A221+4)&gt;$B$11, "", IFERROR((INDEX($F$12:$F$21,MATCH(($A221+4),$E$12:$E$21,1))+(($A221+4)-INDEX($E$12:$E$21,MATCH(($A221+4),$E$12:$E$21,1)))*(IFERROR(INDEX($F$12:$F$21,MATCH(($A221+4),$E$12:$E$21,1)+1),INDEX($F$12:$F$21,MATCH(($A221+4),$E$12:$E$21,1)))-INDEX($F$12:$F$21,MATCH(($A221+4),$E$12:$E$21,1)))/IF((IFERROR(INDEX($E$12:$E$21,MATCH(($A221+4),$E$12:$E$21,1)+1),INDEX($E$12:$E$21,MATCH(($A221+4),$E$12:$E$21,1))+1)-INDEX($E$12:$E$21,MATCH(($A221+4),$E$12:$E$21,1)))=0,1,IFERROR(INDEX($E$12:$E$21,MATCH(($A221+4),$E$12:$E$21,1)+1),INDEX($E$12:$E$21,MATCH(($A221+4),$E$12:$E$21,1))+1)-INDEX($E$12:$E$21,MATCH(($A221+4),$E$12:$E$21,1)))),$F$12))</f>
        <v/>
      </c>
      <c r="G221" s="30" t="str">
        <f>IF(($A221+5)&gt;$B$11, "", IFERROR((INDEX($F$12:$F$21,MATCH(($A221+5),$E$12:$E$21,1))+(($A221+5)-INDEX($E$12:$E$21,MATCH(($A221+5),$E$12:$E$21,1)))*(IFERROR(INDEX($F$12:$F$21,MATCH(($A221+5),$E$12:$E$21,1)+1),INDEX($F$12:$F$21,MATCH(($A221+5),$E$12:$E$21,1)))-INDEX($F$12:$F$21,MATCH(($A221+5),$E$12:$E$21,1)))/IF((IFERROR(INDEX($E$12:$E$21,MATCH(($A221+5),$E$12:$E$21,1)+1),INDEX($E$12:$E$21,MATCH(($A221+5),$E$12:$E$21,1))+1)-INDEX($E$12:$E$21,MATCH(($A221+5),$E$12:$E$21,1)))=0,1,IFERROR(INDEX($E$12:$E$21,MATCH(($A221+5),$E$12:$E$21,1)+1),INDEX($E$12:$E$21,MATCH(($A221+5),$E$12:$E$21,1))+1)-INDEX($E$12:$E$21,MATCH(($A221+5),$E$12:$E$21,1)))),$F$12))</f>
        <v/>
      </c>
      <c r="H221" s="30" t="str">
        <f>IF(($A221+6)&gt;$B$11, "", IFERROR((INDEX($F$12:$F$21,MATCH(($A221+6),$E$12:$E$21,1))+(($A221+6)-INDEX($E$12:$E$21,MATCH(($A221+6),$E$12:$E$21,1)))*(IFERROR(INDEX($F$12:$F$21,MATCH(($A221+6),$E$12:$E$21,1)+1),INDEX($F$12:$F$21,MATCH(($A221+6),$E$12:$E$21,1)))-INDEX($F$12:$F$21,MATCH(($A221+6),$E$12:$E$21,1)))/IF((IFERROR(INDEX($E$12:$E$21,MATCH(($A221+6),$E$12:$E$21,1)+1),INDEX($E$12:$E$21,MATCH(($A221+6),$E$12:$E$21,1))+1)-INDEX($E$12:$E$21,MATCH(($A221+6),$E$12:$E$21,1)))=0,1,IFERROR(INDEX($E$12:$E$21,MATCH(($A221+6),$E$12:$E$21,1)+1),INDEX($E$12:$E$21,MATCH(($A221+6),$E$12:$E$21,1))+1)-INDEX($E$12:$E$21,MATCH(($A221+6),$E$12:$E$21,1)))),$F$12))</f>
        <v/>
      </c>
      <c r="I221" s="30" t="str">
        <f>IF(($A221+7)&gt;$B$11, "", IFERROR((INDEX($F$12:$F$21,MATCH(($A221+7),$E$12:$E$21,1))+(($A221+7)-INDEX($E$12:$E$21,MATCH(($A221+7),$E$12:$E$21,1)))*(IFERROR(INDEX($F$12:$F$21,MATCH(($A221+7),$E$12:$E$21,1)+1),INDEX($F$12:$F$21,MATCH(($A221+7),$E$12:$E$21,1)))-INDEX($F$12:$F$21,MATCH(($A221+7),$E$12:$E$21,1)))/IF((IFERROR(INDEX($E$12:$E$21,MATCH(($A221+7),$E$12:$E$21,1)+1),INDEX($E$12:$E$21,MATCH(($A221+7),$E$12:$E$21,1))+1)-INDEX($E$12:$E$21,MATCH(($A221+7),$E$12:$E$21,1)))=0,1,IFERROR(INDEX($E$12:$E$21,MATCH(($A221+7),$E$12:$E$21,1)+1),INDEX($E$12:$E$21,MATCH(($A221+7),$E$12:$E$21,1))+1)-INDEX($E$12:$E$21,MATCH(($A221+7),$E$12:$E$21,1)))),$F$12))</f>
        <v/>
      </c>
      <c r="J221" s="30" t="str">
        <f>IF(($A221+8)&gt;$B$11, "", IFERROR((INDEX($F$12:$F$21,MATCH(($A221+8),$E$12:$E$21,1))+(($A221+8)-INDEX($E$12:$E$21,MATCH(($A221+8),$E$12:$E$21,1)))*(IFERROR(INDEX($F$12:$F$21,MATCH(($A221+8),$E$12:$E$21,1)+1),INDEX($F$12:$F$21,MATCH(($A221+8),$E$12:$E$21,1)))-INDEX($F$12:$F$21,MATCH(($A221+8),$E$12:$E$21,1)))/IF((IFERROR(INDEX($E$12:$E$21,MATCH(($A221+8),$E$12:$E$21,1)+1),INDEX($E$12:$E$21,MATCH(($A221+8),$E$12:$E$21,1))+1)-INDEX($E$12:$E$21,MATCH(($A221+8),$E$12:$E$21,1)))=0,1,IFERROR(INDEX($E$12:$E$21,MATCH(($A221+8),$E$12:$E$21,1)+1),INDEX($E$12:$E$21,MATCH(($A221+8),$E$12:$E$21,1))+1)-INDEX($E$12:$E$21,MATCH(($A221+8),$E$12:$E$21,1)))),$F$12))</f>
        <v/>
      </c>
      <c r="K221" s="30" t="str">
        <f>IF(($A221+9)&gt;$B$11, "", IFERROR((INDEX($F$12:$F$21,MATCH(($A221+9),$E$12:$E$21,1))+(($A221+9)-INDEX($E$12:$E$21,MATCH(($A221+9),$E$12:$E$21,1)))*(IFERROR(INDEX($F$12:$F$21,MATCH(($A221+9),$E$12:$E$21,1)+1),INDEX($F$12:$F$21,MATCH(($A221+9),$E$12:$E$21,1)))-INDEX($F$12:$F$21,MATCH(($A221+9),$E$12:$E$21,1)))/IF((IFERROR(INDEX($E$12:$E$21,MATCH(($A221+9),$E$12:$E$21,1)+1),INDEX($E$12:$E$21,MATCH(($A221+9),$E$12:$E$21,1))+1)-INDEX($E$12:$E$21,MATCH(($A221+9),$E$12:$E$21,1)))=0,1,IFERROR(INDEX($E$12:$E$21,MATCH(($A221+9),$E$12:$E$21,1)+1),INDEX($E$12:$E$21,MATCH(($A221+9),$E$12:$E$21,1))+1)-INDEX($E$12:$E$21,MATCH(($A221+9),$E$12:$E$21,1)))),$F$12))</f>
        <v/>
      </c>
    </row>
    <row r="222">
      <c r="A222" s="11">
        <v>240</v>
      </c>
      <c r="B222" s="30" t="str">
        <f>IF(($A222+0)&gt;$B$11, "", IFERROR((INDEX($F$12:$F$21,MATCH(($A222+0),$E$12:$E$21,1))+(($A222+0)-INDEX($E$12:$E$21,MATCH(($A222+0),$E$12:$E$21,1)))*(IFERROR(INDEX($F$12:$F$21,MATCH(($A222+0),$E$12:$E$21,1)+1),INDEX($F$12:$F$21,MATCH(($A222+0),$E$12:$E$21,1)))-INDEX($F$12:$F$21,MATCH(($A222+0),$E$12:$E$21,1)))/IF((IFERROR(INDEX($E$12:$E$21,MATCH(($A222+0),$E$12:$E$21,1)+1),INDEX($E$12:$E$21,MATCH(($A222+0),$E$12:$E$21,1))+1)-INDEX($E$12:$E$21,MATCH(($A222+0),$E$12:$E$21,1)))=0,1,IFERROR(INDEX($E$12:$E$21,MATCH(($A222+0),$E$12:$E$21,1)+1),INDEX($E$12:$E$21,MATCH(($A222+0),$E$12:$E$21,1))+1)-INDEX($E$12:$E$21,MATCH(($A222+0),$E$12:$E$21,1)))),$F$12))</f>
        <v/>
      </c>
      <c r="C222" s="30" t="str">
        <f>IF(($A222+1)&gt;$B$11, "", IFERROR((INDEX($F$12:$F$21,MATCH(($A222+1),$E$12:$E$21,1))+(($A222+1)-INDEX($E$12:$E$21,MATCH(($A222+1),$E$12:$E$21,1)))*(IFERROR(INDEX($F$12:$F$21,MATCH(($A222+1),$E$12:$E$21,1)+1),INDEX($F$12:$F$21,MATCH(($A222+1),$E$12:$E$21,1)))-INDEX($F$12:$F$21,MATCH(($A222+1),$E$12:$E$21,1)))/IF((IFERROR(INDEX($E$12:$E$21,MATCH(($A222+1),$E$12:$E$21,1)+1),INDEX($E$12:$E$21,MATCH(($A222+1),$E$12:$E$21,1))+1)-INDEX($E$12:$E$21,MATCH(($A222+1),$E$12:$E$21,1)))=0,1,IFERROR(INDEX($E$12:$E$21,MATCH(($A222+1),$E$12:$E$21,1)+1),INDEX($E$12:$E$21,MATCH(($A222+1),$E$12:$E$21,1))+1)-INDEX($E$12:$E$21,MATCH(($A222+1),$E$12:$E$21,1)))),$F$12))</f>
        <v/>
      </c>
      <c r="D222" s="30" t="str">
        <f>IF(($A222+2)&gt;$B$11, "", IFERROR((INDEX($F$12:$F$21,MATCH(($A222+2),$E$12:$E$21,1))+(($A222+2)-INDEX($E$12:$E$21,MATCH(($A222+2),$E$12:$E$21,1)))*(IFERROR(INDEX($F$12:$F$21,MATCH(($A222+2),$E$12:$E$21,1)+1),INDEX($F$12:$F$21,MATCH(($A222+2),$E$12:$E$21,1)))-INDEX($F$12:$F$21,MATCH(($A222+2),$E$12:$E$21,1)))/IF((IFERROR(INDEX($E$12:$E$21,MATCH(($A222+2),$E$12:$E$21,1)+1),INDEX($E$12:$E$21,MATCH(($A222+2),$E$12:$E$21,1))+1)-INDEX($E$12:$E$21,MATCH(($A222+2),$E$12:$E$21,1)))=0,1,IFERROR(INDEX($E$12:$E$21,MATCH(($A222+2),$E$12:$E$21,1)+1),INDEX($E$12:$E$21,MATCH(($A222+2),$E$12:$E$21,1))+1)-INDEX($E$12:$E$21,MATCH(($A222+2),$E$12:$E$21,1)))),$F$12))</f>
        <v/>
      </c>
      <c r="E222" s="30" t="str">
        <f>IF(($A222+3)&gt;$B$11, "", IFERROR((INDEX($F$12:$F$21,MATCH(($A222+3),$E$12:$E$21,1))+(($A222+3)-INDEX($E$12:$E$21,MATCH(($A222+3),$E$12:$E$21,1)))*(IFERROR(INDEX($F$12:$F$21,MATCH(($A222+3),$E$12:$E$21,1)+1),INDEX($F$12:$F$21,MATCH(($A222+3),$E$12:$E$21,1)))-INDEX($F$12:$F$21,MATCH(($A222+3),$E$12:$E$21,1)))/IF((IFERROR(INDEX($E$12:$E$21,MATCH(($A222+3),$E$12:$E$21,1)+1),INDEX($E$12:$E$21,MATCH(($A222+3),$E$12:$E$21,1))+1)-INDEX($E$12:$E$21,MATCH(($A222+3),$E$12:$E$21,1)))=0,1,IFERROR(INDEX($E$12:$E$21,MATCH(($A222+3),$E$12:$E$21,1)+1),INDEX($E$12:$E$21,MATCH(($A222+3),$E$12:$E$21,1))+1)-INDEX($E$12:$E$21,MATCH(($A222+3),$E$12:$E$21,1)))),$F$12))</f>
        <v/>
      </c>
      <c r="F222" s="30" t="str">
        <f>IF(($A222+4)&gt;$B$11, "", IFERROR((INDEX($F$12:$F$21,MATCH(($A222+4),$E$12:$E$21,1))+(($A222+4)-INDEX($E$12:$E$21,MATCH(($A222+4),$E$12:$E$21,1)))*(IFERROR(INDEX($F$12:$F$21,MATCH(($A222+4),$E$12:$E$21,1)+1),INDEX($F$12:$F$21,MATCH(($A222+4),$E$12:$E$21,1)))-INDEX($F$12:$F$21,MATCH(($A222+4),$E$12:$E$21,1)))/IF((IFERROR(INDEX($E$12:$E$21,MATCH(($A222+4),$E$12:$E$21,1)+1),INDEX($E$12:$E$21,MATCH(($A222+4),$E$12:$E$21,1))+1)-INDEX($E$12:$E$21,MATCH(($A222+4),$E$12:$E$21,1)))=0,1,IFERROR(INDEX($E$12:$E$21,MATCH(($A222+4),$E$12:$E$21,1)+1),INDEX($E$12:$E$21,MATCH(($A222+4),$E$12:$E$21,1))+1)-INDEX($E$12:$E$21,MATCH(($A222+4),$E$12:$E$21,1)))),$F$12))</f>
        <v/>
      </c>
      <c r="G222" s="30" t="str">
        <f>IF(($A222+5)&gt;$B$11, "", IFERROR((INDEX($F$12:$F$21,MATCH(($A222+5),$E$12:$E$21,1))+(($A222+5)-INDEX($E$12:$E$21,MATCH(($A222+5),$E$12:$E$21,1)))*(IFERROR(INDEX($F$12:$F$21,MATCH(($A222+5),$E$12:$E$21,1)+1),INDEX($F$12:$F$21,MATCH(($A222+5),$E$12:$E$21,1)))-INDEX($F$12:$F$21,MATCH(($A222+5),$E$12:$E$21,1)))/IF((IFERROR(INDEX($E$12:$E$21,MATCH(($A222+5),$E$12:$E$21,1)+1),INDEX($E$12:$E$21,MATCH(($A222+5),$E$12:$E$21,1))+1)-INDEX($E$12:$E$21,MATCH(($A222+5),$E$12:$E$21,1)))=0,1,IFERROR(INDEX($E$12:$E$21,MATCH(($A222+5),$E$12:$E$21,1)+1),INDEX($E$12:$E$21,MATCH(($A222+5),$E$12:$E$21,1))+1)-INDEX($E$12:$E$21,MATCH(($A222+5),$E$12:$E$21,1)))),$F$12))</f>
        <v/>
      </c>
      <c r="H222" s="30" t="str">
        <f>IF(($A222+6)&gt;$B$11, "", IFERROR((INDEX($F$12:$F$21,MATCH(($A222+6),$E$12:$E$21,1))+(($A222+6)-INDEX($E$12:$E$21,MATCH(($A222+6),$E$12:$E$21,1)))*(IFERROR(INDEX($F$12:$F$21,MATCH(($A222+6),$E$12:$E$21,1)+1),INDEX($F$12:$F$21,MATCH(($A222+6),$E$12:$E$21,1)))-INDEX($F$12:$F$21,MATCH(($A222+6),$E$12:$E$21,1)))/IF((IFERROR(INDEX($E$12:$E$21,MATCH(($A222+6),$E$12:$E$21,1)+1),INDEX($E$12:$E$21,MATCH(($A222+6),$E$12:$E$21,1))+1)-INDEX($E$12:$E$21,MATCH(($A222+6),$E$12:$E$21,1)))=0,1,IFERROR(INDEX($E$12:$E$21,MATCH(($A222+6),$E$12:$E$21,1)+1),INDEX($E$12:$E$21,MATCH(($A222+6),$E$12:$E$21,1))+1)-INDEX($E$12:$E$21,MATCH(($A222+6),$E$12:$E$21,1)))),$F$12))</f>
        <v/>
      </c>
      <c r="I222" s="30" t="str">
        <f>IF(($A222+7)&gt;$B$11, "", IFERROR((INDEX($F$12:$F$21,MATCH(($A222+7),$E$12:$E$21,1))+(($A222+7)-INDEX($E$12:$E$21,MATCH(($A222+7),$E$12:$E$21,1)))*(IFERROR(INDEX($F$12:$F$21,MATCH(($A222+7),$E$12:$E$21,1)+1),INDEX($F$12:$F$21,MATCH(($A222+7),$E$12:$E$21,1)))-INDEX($F$12:$F$21,MATCH(($A222+7),$E$12:$E$21,1)))/IF((IFERROR(INDEX($E$12:$E$21,MATCH(($A222+7),$E$12:$E$21,1)+1),INDEX($E$12:$E$21,MATCH(($A222+7),$E$12:$E$21,1))+1)-INDEX($E$12:$E$21,MATCH(($A222+7),$E$12:$E$21,1)))=0,1,IFERROR(INDEX($E$12:$E$21,MATCH(($A222+7),$E$12:$E$21,1)+1),INDEX($E$12:$E$21,MATCH(($A222+7),$E$12:$E$21,1))+1)-INDEX($E$12:$E$21,MATCH(($A222+7),$E$12:$E$21,1)))),$F$12))</f>
        <v/>
      </c>
      <c r="J222" s="30" t="str">
        <f>IF(($A222+8)&gt;$B$11, "", IFERROR((INDEX($F$12:$F$21,MATCH(($A222+8),$E$12:$E$21,1))+(($A222+8)-INDEX($E$12:$E$21,MATCH(($A222+8),$E$12:$E$21,1)))*(IFERROR(INDEX($F$12:$F$21,MATCH(($A222+8),$E$12:$E$21,1)+1),INDEX($F$12:$F$21,MATCH(($A222+8),$E$12:$E$21,1)))-INDEX($F$12:$F$21,MATCH(($A222+8),$E$12:$E$21,1)))/IF((IFERROR(INDEX($E$12:$E$21,MATCH(($A222+8),$E$12:$E$21,1)+1),INDEX($E$12:$E$21,MATCH(($A222+8),$E$12:$E$21,1))+1)-INDEX($E$12:$E$21,MATCH(($A222+8),$E$12:$E$21,1)))=0,1,IFERROR(INDEX($E$12:$E$21,MATCH(($A222+8),$E$12:$E$21,1)+1),INDEX($E$12:$E$21,MATCH(($A222+8),$E$12:$E$21,1))+1)-INDEX($E$12:$E$21,MATCH(($A222+8),$E$12:$E$21,1)))),$F$12))</f>
        <v/>
      </c>
      <c r="K222" s="30" t="str">
        <f>IF(($A222+9)&gt;$B$11, "", IFERROR((INDEX($F$12:$F$21,MATCH(($A222+9),$E$12:$E$21,1))+(($A222+9)-INDEX($E$12:$E$21,MATCH(($A222+9),$E$12:$E$21,1)))*(IFERROR(INDEX($F$12:$F$21,MATCH(($A222+9),$E$12:$E$21,1)+1),INDEX($F$12:$F$21,MATCH(($A222+9),$E$12:$E$21,1)))-INDEX($F$12:$F$21,MATCH(($A222+9),$E$12:$E$21,1)))/IF((IFERROR(INDEX($E$12:$E$21,MATCH(($A222+9),$E$12:$E$21,1)+1),INDEX($E$12:$E$21,MATCH(($A222+9),$E$12:$E$21,1))+1)-INDEX($E$12:$E$21,MATCH(($A222+9),$E$12:$E$21,1)))=0,1,IFERROR(INDEX($E$12:$E$21,MATCH(($A222+9),$E$12:$E$21,1)+1),INDEX($E$12:$E$21,MATCH(($A222+9),$E$12:$E$21,1))+1)-INDEX($E$12:$E$21,MATCH(($A222+9),$E$12:$E$21,1)))),$F$12))</f>
        <v/>
      </c>
    </row>
    <row r="223">
      <c r="A223" s="11">
        <v>250</v>
      </c>
      <c r="B223" s="30" t="str">
        <f>IF(($A223+0)&gt;$B$11, "", IFERROR((INDEX($F$12:$F$21,MATCH(($A223+0),$E$12:$E$21,1))+(($A223+0)-INDEX($E$12:$E$21,MATCH(($A223+0),$E$12:$E$21,1)))*(IFERROR(INDEX($F$12:$F$21,MATCH(($A223+0),$E$12:$E$21,1)+1),INDEX($F$12:$F$21,MATCH(($A223+0),$E$12:$E$21,1)))-INDEX($F$12:$F$21,MATCH(($A223+0),$E$12:$E$21,1)))/IF((IFERROR(INDEX($E$12:$E$21,MATCH(($A223+0),$E$12:$E$21,1)+1),INDEX($E$12:$E$21,MATCH(($A223+0),$E$12:$E$21,1))+1)-INDEX($E$12:$E$21,MATCH(($A223+0),$E$12:$E$21,1)))=0,1,IFERROR(INDEX($E$12:$E$21,MATCH(($A223+0),$E$12:$E$21,1)+1),INDEX($E$12:$E$21,MATCH(($A223+0),$E$12:$E$21,1))+1)-INDEX($E$12:$E$21,MATCH(($A223+0),$E$12:$E$21,1)))),$F$12))</f>
        <v/>
      </c>
      <c r="C223" s="30" t="str">
        <f>IF(($A223+1)&gt;$B$11, "", IFERROR((INDEX($F$12:$F$21,MATCH(($A223+1),$E$12:$E$21,1))+(($A223+1)-INDEX($E$12:$E$21,MATCH(($A223+1),$E$12:$E$21,1)))*(IFERROR(INDEX($F$12:$F$21,MATCH(($A223+1),$E$12:$E$21,1)+1),INDEX($F$12:$F$21,MATCH(($A223+1),$E$12:$E$21,1)))-INDEX($F$12:$F$21,MATCH(($A223+1),$E$12:$E$21,1)))/IF((IFERROR(INDEX($E$12:$E$21,MATCH(($A223+1),$E$12:$E$21,1)+1),INDEX($E$12:$E$21,MATCH(($A223+1),$E$12:$E$21,1))+1)-INDEX($E$12:$E$21,MATCH(($A223+1),$E$12:$E$21,1)))=0,1,IFERROR(INDEX($E$12:$E$21,MATCH(($A223+1),$E$12:$E$21,1)+1),INDEX($E$12:$E$21,MATCH(($A223+1),$E$12:$E$21,1))+1)-INDEX($E$12:$E$21,MATCH(($A223+1),$E$12:$E$21,1)))),$F$12))</f>
        <v/>
      </c>
      <c r="D223" s="30" t="str">
        <f>IF(($A223+2)&gt;$B$11, "", IFERROR((INDEX($F$12:$F$21,MATCH(($A223+2),$E$12:$E$21,1))+(($A223+2)-INDEX($E$12:$E$21,MATCH(($A223+2),$E$12:$E$21,1)))*(IFERROR(INDEX($F$12:$F$21,MATCH(($A223+2),$E$12:$E$21,1)+1),INDEX($F$12:$F$21,MATCH(($A223+2),$E$12:$E$21,1)))-INDEX($F$12:$F$21,MATCH(($A223+2),$E$12:$E$21,1)))/IF((IFERROR(INDEX($E$12:$E$21,MATCH(($A223+2),$E$12:$E$21,1)+1),INDEX($E$12:$E$21,MATCH(($A223+2),$E$12:$E$21,1))+1)-INDEX($E$12:$E$21,MATCH(($A223+2),$E$12:$E$21,1)))=0,1,IFERROR(INDEX($E$12:$E$21,MATCH(($A223+2),$E$12:$E$21,1)+1),INDEX($E$12:$E$21,MATCH(($A223+2),$E$12:$E$21,1))+1)-INDEX($E$12:$E$21,MATCH(($A223+2),$E$12:$E$21,1)))),$F$12))</f>
        <v/>
      </c>
      <c r="E223" s="30" t="str">
        <f>IF(($A223+3)&gt;$B$11, "", IFERROR((INDEX($F$12:$F$21,MATCH(($A223+3),$E$12:$E$21,1))+(($A223+3)-INDEX($E$12:$E$21,MATCH(($A223+3),$E$12:$E$21,1)))*(IFERROR(INDEX($F$12:$F$21,MATCH(($A223+3),$E$12:$E$21,1)+1),INDEX($F$12:$F$21,MATCH(($A223+3),$E$12:$E$21,1)))-INDEX($F$12:$F$21,MATCH(($A223+3),$E$12:$E$21,1)))/IF((IFERROR(INDEX($E$12:$E$21,MATCH(($A223+3),$E$12:$E$21,1)+1),INDEX($E$12:$E$21,MATCH(($A223+3),$E$12:$E$21,1))+1)-INDEX($E$12:$E$21,MATCH(($A223+3),$E$12:$E$21,1)))=0,1,IFERROR(INDEX($E$12:$E$21,MATCH(($A223+3),$E$12:$E$21,1)+1),INDEX($E$12:$E$21,MATCH(($A223+3),$E$12:$E$21,1))+1)-INDEX($E$12:$E$21,MATCH(($A223+3),$E$12:$E$21,1)))),$F$12))</f>
        <v/>
      </c>
      <c r="F223" s="30" t="str">
        <f>IF(($A223+4)&gt;$B$11, "", IFERROR((INDEX($F$12:$F$21,MATCH(($A223+4),$E$12:$E$21,1))+(($A223+4)-INDEX($E$12:$E$21,MATCH(($A223+4),$E$12:$E$21,1)))*(IFERROR(INDEX($F$12:$F$21,MATCH(($A223+4),$E$12:$E$21,1)+1),INDEX($F$12:$F$21,MATCH(($A223+4),$E$12:$E$21,1)))-INDEX($F$12:$F$21,MATCH(($A223+4),$E$12:$E$21,1)))/IF((IFERROR(INDEX($E$12:$E$21,MATCH(($A223+4),$E$12:$E$21,1)+1),INDEX($E$12:$E$21,MATCH(($A223+4),$E$12:$E$21,1))+1)-INDEX($E$12:$E$21,MATCH(($A223+4),$E$12:$E$21,1)))=0,1,IFERROR(INDEX($E$12:$E$21,MATCH(($A223+4),$E$12:$E$21,1)+1),INDEX($E$12:$E$21,MATCH(($A223+4),$E$12:$E$21,1))+1)-INDEX($E$12:$E$21,MATCH(($A223+4),$E$12:$E$21,1)))),$F$12))</f>
        <v/>
      </c>
      <c r="G223" s="30" t="str">
        <f>IF(($A223+5)&gt;$B$11, "", IFERROR((INDEX($F$12:$F$21,MATCH(($A223+5),$E$12:$E$21,1))+(($A223+5)-INDEX($E$12:$E$21,MATCH(($A223+5),$E$12:$E$21,1)))*(IFERROR(INDEX($F$12:$F$21,MATCH(($A223+5),$E$12:$E$21,1)+1),INDEX($F$12:$F$21,MATCH(($A223+5),$E$12:$E$21,1)))-INDEX($F$12:$F$21,MATCH(($A223+5),$E$12:$E$21,1)))/IF((IFERROR(INDEX($E$12:$E$21,MATCH(($A223+5),$E$12:$E$21,1)+1),INDEX($E$12:$E$21,MATCH(($A223+5),$E$12:$E$21,1))+1)-INDEX($E$12:$E$21,MATCH(($A223+5),$E$12:$E$21,1)))=0,1,IFERROR(INDEX($E$12:$E$21,MATCH(($A223+5),$E$12:$E$21,1)+1),INDEX($E$12:$E$21,MATCH(($A223+5),$E$12:$E$21,1))+1)-INDEX($E$12:$E$21,MATCH(($A223+5),$E$12:$E$21,1)))),$F$12))</f>
        <v/>
      </c>
      <c r="H223" s="30" t="str">
        <f>IF(($A223+6)&gt;$B$11, "", IFERROR((INDEX($F$12:$F$21,MATCH(($A223+6),$E$12:$E$21,1))+(($A223+6)-INDEX($E$12:$E$21,MATCH(($A223+6),$E$12:$E$21,1)))*(IFERROR(INDEX($F$12:$F$21,MATCH(($A223+6),$E$12:$E$21,1)+1),INDEX($F$12:$F$21,MATCH(($A223+6),$E$12:$E$21,1)))-INDEX($F$12:$F$21,MATCH(($A223+6),$E$12:$E$21,1)))/IF((IFERROR(INDEX($E$12:$E$21,MATCH(($A223+6),$E$12:$E$21,1)+1),INDEX($E$12:$E$21,MATCH(($A223+6),$E$12:$E$21,1))+1)-INDEX($E$12:$E$21,MATCH(($A223+6),$E$12:$E$21,1)))=0,1,IFERROR(INDEX($E$12:$E$21,MATCH(($A223+6),$E$12:$E$21,1)+1),INDEX($E$12:$E$21,MATCH(($A223+6),$E$12:$E$21,1))+1)-INDEX($E$12:$E$21,MATCH(($A223+6),$E$12:$E$21,1)))),$F$12))</f>
        <v/>
      </c>
      <c r="I223" s="30" t="str">
        <f>IF(($A223+7)&gt;$B$11, "", IFERROR((INDEX($F$12:$F$21,MATCH(($A223+7),$E$12:$E$21,1))+(($A223+7)-INDEX($E$12:$E$21,MATCH(($A223+7),$E$12:$E$21,1)))*(IFERROR(INDEX($F$12:$F$21,MATCH(($A223+7),$E$12:$E$21,1)+1),INDEX($F$12:$F$21,MATCH(($A223+7),$E$12:$E$21,1)))-INDEX($F$12:$F$21,MATCH(($A223+7),$E$12:$E$21,1)))/IF((IFERROR(INDEX($E$12:$E$21,MATCH(($A223+7),$E$12:$E$21,1)+1),INDEX($E$12:$E$21,MATCH(($A223+7),$E$12:$E$21,1))+1)-INDEX($E$12:$E$21,MATCH(($A223+7),$E$12:$E$21,1)))=0,1,IFERROR(INDEX($E$12:$E$21,MATCH(($A223+7),$E$12:$E$21,1)+1),INDEX($E$12:$E$21,MATCH(($A223+7),$E$12:$E$21,1))+1)-INDEX($E$12:$E$21,MATCH(($A223+7),$E$12:$E$21,1)))),$F$12))</f>
        <v/>
      </c>
      <c r="J223" s="30" t="str">
        <f>IF(($A223+8)&gt;$B$11, "", IFERROR((INDEX($F$12:$F$21,MATCH(($A223+8),$E$12:$E$21,1))+(($A223+8)-INDEX($E$12:$E$21,MATCH(($A223+8),$E$12:$E$21,1)))*(IFERROR(INDEX($F$12:$F$21,MATCH(($A223+8),$E$12:$E$21,1)+1),INDEX($F$12:$F$21,MATCH(($A223+8),$E$12:$E$21,1)))-INDEX($F$12:$F$21,MATCH(($A223+8),$E$12:$E$21,1)))/IF((IFERROR(INDEX($E$12:$E$21,MATCH(($A223+8),$E$12:$E$21,1)+1),INDEX($E$12:$E$21,MATCH(($A223+8),$E$12:$E$21,1))+1)-INDEX($E$12:$E$21,MATCH(($A223+8),$E$12:$E$21,1)))=0,1,IFERROR(INDEX($E$12:$E$21,MATCH(($A223+8),$E$12:$E$21,1)+1),INDEX($E$12:$E$21,MATCH(($A223+8),$E$12:$E$21,1))+1)-INDEX($E$12:$E$21,MATCH(($A223+8),$E$12:$E$21,1)))),$F$12))</f>
        <v/>
      </c>
      <c r="K223" s="30" t="str">
        <f>IF(($A223+9)&gt;$B$11, "", IFERROR((INDEX($F$12:$F$21,MATCH(($A223+9),$E$12:$E$21,1))+(($A223+9)-INDEX($E$12:$E$21,MATCH(($A223+9),$E$12:$E$21,1)))*(IFERROR(INDEX($F$12:$F$21,MATCH(($A223+9),$E$12:$E$21,1)+1),INDEX($F$12:$F$21,MATCH(($A223+9),$E$12:$E$21,1)))-INDEX($F$12:$F$21,MATCH(($A223+9),$E$12:$E$21,1)))/IF((IFERROR(INDEX($E$12:$E$21,MATCH(($A223+9),$E$12:$E$21,1)+1),INDEX($E$12:$E$21,MATCH(($A223+9),$E$12:$E$21,1))+1)-INDEX($E$12:$E$21,MATCH(($A223+9),$E$12:$E$21,1)))=0,1,IFERROR(INDEX($E$12:$E$21,MATCH(($A223+9),$E$12:$E$21,1)+1),INDEX($E$12:$E$21,MATCH(($A223+9),$E$12:$E$21,1))+1)-INDEX($E$12:$E$21,MATCH(($A223+9),$E$12:$E$21,1)))),$F$12))</f>
        <v/>
      </c>
    </row>
    <row r="224">
      <c r="A224" s="11">
        <v>260</v>
      </c>
      <c r="B224" s="30" t="str">
        <f>IF(($A224+0)&gt;$B$11, "", IFERROR((INDEX($F$12:$F$21,MATCH(($A224+0),$E$12:$E$21,1))+(($A224+0)-INDEX($E$12:$E$21,MATCH(($A224+0),$E$12:$E$21,1)))*(IFERROR(INDEX($F$12:$F$21,MATCH(($A224+0),$E$12:$E$21,1)+1),INDEX($F$12:$F$21,MATCH(($A224+0),$E$12:$E$21,1)))-INDEX($F$12:$F$21,MATCH(($A224+0),$E$12:$E$21,1)))/IF((IFERROR(INDEX($E$12:$E$21,MATCH(($A224+0),$E$12:$E$21,1)+1),INDEX($E$12:$E$21,MATCH(($A224+0),$E$12:$E$21,1))+1)-INDEX($E$12:$E$21,MATCH(($A224+0),$E$12:$E$21,1)))=0,1,IFERROR(INDEX($E$12:$E$21,MATCH(($A224+0),$E$12:$E$21,1)+1),INDEX($E$12:$E$21,MATCH(($A224+0),$E$12:$E$21,1))+1)-INDEX($E$12:$E$21,MATCH(($A224+0),$E$12:$E$21,1)))),$F$12))</f>
        <v/>
      </c>
      <c r="C224" s="30" t="str">
        <f>IF(($A224+1)&gt;$B$11, "", IFERROR((INDEX($F$12:$F$21,MATCH(($A224+1),$E$12:$E$21,1))+(($A224+1)-INDEX($E$12:$E$21,MATCH(($A224+1),$E$12:$E$21,1)))*(IFERROR(INDEX($F$12:$F$21,MATCH(($A224+1),$E$12:$E$21,1)+1),INDEX($F$12:$F$21,MATCH(($A224+1),$E$12:$E$21,1)))-INDEX($F$12:$F$21,MATCH(($A224+1),$E$12:$E$21,1)))/IF((IFERROR(INDEX($E$12:$E$21,MATCH(($A224+1),$E$12:$E$21,1)+1),INDEX($E$12:$E$21,MATCH(($A224+1),$E$12:$E$21,1))+1)-INDEX($E$12:$E$21,MATCH(($A224+1),$E$12:$E$21,1)))=0,1,IFERROR(INDEX($E$12:$E$21,MATCH(($A224+1),$E$12:$E$21,1)+1),INDEX($E$12:$E$21,MATCH(($A224+1),$E$12:$E$21,1))+1)-INDEX($E$12:$E$21,MATCH(($A224+1),$E$12:$E$21,1)))),$F$12))</f>
        <v/>
      </c>
      <c r="D224" s="30" t="str">
        <f>IF(($A224+2)&gt;$B$11, "", IFERROR((INDEX($F$12:$F$21,MATCH(($A224+2),$E$12:$E$21,1))+(($A224+2)-INDEX($E$12:$E$21,MATCH(($A224+2),$E$12:$E$21,1)))*(IFERROR(INDEX($F$12:$F$21,MATCH(($A224+2),$E$12:$E$21,1)+1),INDEX($F$12:$F$21,MATCH(($A224+2),$E$12:$E$21,1)))-INDEX($F$12:$F$21,MATCH(($A224+2),$E$12:$E$21,1)))/IF((IFERROR(INDEX($E$12:$E$21,MATCH(($A224+2),$E$12:$E$21,1)+1),INDEX($E$12:$E$21,MATCH(($A224+2),$E$12:$E$21,1))+1)-INDEX($E$12:$E$21,MATCH(($A224+2),$E$12:$E$21,1)))=0,1,IFERROR(INDEX($E$12:$E$21,MATCH(($A224+2),$E$12:$E$21,1)+1),INDEX($E$12:$E$21,MATCH(($A224+2),$E$12:$E$21,1))+1)-INDEX($E$12:$E$21,MATCH(($A224+2),$E$12:$E$21,1)))),$F$12))</f>
        <v/>
      </c>
      <c r="E224" s="30" t="str">
        <f>IF(($A224+3)&gt;$B$11, "", IFERROR((INDEX($F$12:$F$21,MATCH(($A224+3),$E$12:$E$21,1))+(($A224+3)-INDEX($E$12:$E$21,MATCH(($A224+3),$E$12:$E$21,1)))*(IFERROR(INDEX($F$12:$F$21,MATCH(($A224+3),$E$12:$E$21,1)+1),INDEX($F$12:$F$21,MATCH(($A224+3),$E$12:$E$21,1)))-INDEX($F$12:$F$21,MATCH(($A224+3),$E$12:$E$21,1)))/IF((IFERROR(INDEX($E$12:$E$21,MATCH(($A224+3),$E$12:$E$21,1)+1),INDEX($E$12:$E$21,MATCH(($A224+3),$E$12:$E$21,1))+1)-INDEX($E$12:$E$21,MATCH(($A224+3),$E$12:$E$21,1)))=0,1,IFERROR(INDEX($E$12:$E$21,MATCH(($A224+3),$E$12:$E$21,1)+1),INDEX($E$12:$E$21,MATCH(($A224+3),$E$12:$E$21,1))+1)-INDEX($E$12:$E$21,MATCH(($A224+3),$E$12:$E$21,1)))),$F$12))</f>
        <v/>
      </c>
      <c r="F224" s="30" t="str">
        <f>IF(($A224+4)&gt;$B$11, "", IFERROR((INDEX($F$12:$F$21,MATCH(($A224+4),$E$12:$E$21,1))+(($A224+4)-INDEX($E$12:$E$21,MATCH(($A224+4),$E$12:$E$21,1)))*(IFERROR(INDEX($F$12:$F$21,MATCH(($A224+4),$E$12:$E$21,1)+1),INDEX($F$12:$F$21,MATCH(($A224+4),$E$12:$E$21,1)))-INDEX($F$12:$F$21,MATCH(($A224+4),$E$12:$E$21,1)))/IF((IFERROR(INDEX($E$12:$E$21,MATCH(($A224+4),$E$12:$E$21,1)+1),INDEX($E$12:$E$21,MATCH(($A224+4),$E$12:$E$21,1))+1)-INDEX($E$12:$E$21,MATCH(($A224+4),$E$12:$E$21,1)))=0,1,IFERROR(INDEX($E$12:$E$21,MATCH(($A224+4),$E$12:$E$21,1)+1),INDEX($E$12:$E$21,MATCH(($A224+4),$E$12:$E$21,1))+1)-INDEX($E$12:$E$21,MATCH(($A224+4),$E$12:$E$21,1)))),$F$12))</f>
        <v/>
      </c>
      <c r="G224" s="30" t="str">
        <f>IF(($A224+5)&gt;$B$11, "", IFERROR((INDEX($F$12:$F$21,MATCH(($A224+5),$E$12:$E$21,1))+(($A224+5)-INDEX($E$12:$E$21,MATCH(($A224+5),$E$12:$E$21,1)))*(IFERROR(INDEX($F$12:$F$21,MATCH(($A224+5),$E$12:$E$21,1)+1),INDEX($F$12:$F$21,MATCH(($A224+5),$E$12:$E$21,1)))-INDEX($F$12:$F$21,MATCH(($A224+5),$E$12:$E$21,1)))/IF((IFERROR(INDEX($E$12:$E$21,MATCH(($A224+5),$E$12:$E$21,1)+1),INDEX($E$12:$E$21,MATCH(($A224+5),$E$12:$E$21,1))+1)-INDEX($E$12:$E$21,MATCH(($A224+5),$E$12:$E$21,1)))=0,1,IFERROR(INDEX($E$12:$E$21,MATCH(($A224+5),$E$12:$E$21,1)+1),INDEX($E$12:$E$21,MATCH(($A224+5),$E$12:$E$21,1))+1)-INDEX($E$12:$E$21,MATCH(($A224+5),$E$12:$E$21,1)))),$F$12))</f>
        <v/>
      </c>
      <c r="H224" s="30" t="str">
        <f>IF(($A224+6)&gt;$B$11, "", IFERROR((INDEX($F$12:$F$21,MATCH(($A224+6),$E$12:$E$21,1))+(($A224+6)-INDEX($E$12:$E$21,MATCH(($A224+6),$E$12:$E$21,1)))*(IFERROR(INDEX($F$12:$F$21,MATCH(($A224+6),$E$12:$E$21,1)+1),INDEX($F$12:$F$21,MATCH(($A224+6),$E$12:$E$21,1)))-INDEX($F$12:$F$21,MATCH(($A224+6),$E$12:$E$21,1)))/IF((IFERROR(INDEX($E$12:$E$21,MATCH(($A224+6),$E$12:$E$21,1)+1),INDEX($E$12:$E$21,MATCH(($A224+6),$E$12:$E$21,1))+1)-INDEX($E$12:$E$21,MATCH(($A224+6),$E$12:$E$21,1)))=0,1,IFERROR(INDEX($E$12:$E$21,MATCH(($A224+6),$E$12:$E$21,1)+1),INDEX($E$12:$E$21,MATCH(($A224+6),$E$12:$E$21,1))+1)-INDEX($E$12:$E$21,MATCH(($A224+6),$E$12:$E$21,1)))),$F$12))</f>
        <v/>
      </c>
      <c r="I224" s="30" t="str">
        <f>IF(($A224+7)&gt;$B$11, "", IFERROR((INDEX($F$12:$F$21,MATCH(($A224+7),$E$12:$E$21,1))+(($A224+7)-INDEX($E$12:$E$21,MATCH(($A224+7),$E$12:$E$21,1)))*(IFERROR(INDEX($F$12:$F$21,MATCH(($A224+7),$E$12:$E$21,1)+1),INDEX($F$12:$F$21,MATCH(($A224+7),$E$12:$E$21,1)))-INDEX($F$12:$F$21,MATCH(($A224+7),$E$12:$E$21,1)))/IF((IFERROR(INDEX($E$12:$E$21,MATCH(($A224+7),$E$12:$E$21,1)+1),INDEX($E$12:$E$21,MATCH(($A224+7),$E$12:$E$21,1))+1)-INDEX($E$12:$E$21,MATCH(($A224+7),$E$12:$E$21,1)))=0,1,IFERROR(INDEX($E$12:$E$21,MATCH(($A224+7),$E$12:$E$21,1)+1),INDEX($E$12:$E$21,MATCH(($A224+7),$E$12:$E$21,1))+1)-INDEX($E$12:$E$21,MATCH(($A224+7),$E$12:$E$21,1)))),$F$12))</f>
        <v/>
      </c>
      <c r="J224" s="30" t="str">
        <f>IF(($A224+8)&gt;$B$11, "", IFERROR((INDEX($F$12:$F$21,MATCH(($A224+8),$E$12:$E$21,1))+(($A224+8)-INDEX($E$12:$E$21,MATCH(($A224+8),$E$12:$E$21,1)))*(IFERROR(INDEX($F$12:$F$21,MATCH(($A224+8),$E$12:$E$21,1)+1),INDEX($F$12:$F$21,MATCH(($A224+8),$E$12:$E$21,1)))-INDEX($F$12:$F$21,MATCH(($A224+8),$E$12:$E$21,1)))/IF((IFERROR(INDEX($E$12:$E$21,MATCH(($A224+8),$E$12:$E$21,1)+1),INDEX($E$12:$E$21,MATCH(($A224+8),$E$12:$E$21,1))+1)-INDEX($E$12:$E$21,MATCH(($A224+8),$E$12:$E$21,1)))=0,1,IFERROR(INDEX($E$12:$E$21,MATCH(($A224+8),$E$12:$E$21,1)+1),INDEX($E$12:$E$21,MATCH(($A224+8),$E$12:$E$21,1))+1)-INDEX($E$12:$E$21,MATCH(($A224+8),$E$12:$E$21,1)))),$F$12))</f>
        <v/>
      </c>
      <c r="K224" s="30" t="str">
        <f>IF(($A224+9)&gt;$B$11, "", IFERROR((INDEX($F$12:$F$21,MATCH(($A224+9),$E$12:$E$21,1))+(($A224+9)-INDEX($E$12:$E$21,MATCH(($A224+9),$E$12:$E$21,1)))*(IFERROR(INDEX($F$12:$F$21,MATCH(($A224+9),$E$12:$E$21,1)+1),INDEX($F$12:$F$21,MATCH(($A224+9),$E$12:$E$21,1)))-INDEX($F$12:$F$21,MATCH(($A224+9),$E$12:$E$21,1)))/IF((IFERROR(INDEX($E$12:$E$21,MATCH(($A224+9),$E$12:$E$21,1)+1),INDEX($E$12:$E$21,MATCH(($A224+9),$E$12:$E$21,1))+1)-INDEX($E$12:$E$21,MATCH(($A224+9),$E$12:$E$21,1)))=0,1,IFERROR(INDEX($E$12:$E$21,MATCH(($A224+9),$E$12:$E$21,1)+1),INDEX($E$12:$E$21,MATCH(($A224+9),$E$12:$E$21,1))+1)-INDEX($E$12:$E$21,MATCH(($A224+9),$E$12:$E$21,1)))),$F$12))</f>
        <v/>
      </c>
    </row>
    <row r="225">
      <c r="A225" s="11">
        <v>270</v>
      </c>
      <c r="B225" s="30" t="str">
        <f>IF(($A225+0)&gt;$B$11, "", IFERROR((INDEX($F$12:$F$21,MATCH(($A225+0),$E$12:$E$21,1))+(($A225+0)-INDEX($E$12:$E$21,MATCH(($A225+0),$E$12:$E$21,1)))*(IFERROR(INDEX($F$12:$F$21,MATCH(($A225+0),$E$12:$E$21,1)+1),INDEX($F$12:$F$21,MATCH(($A225+0),$E$12:$E$21,1)))-INDEX($F$12:$F$21,MATCH(($A225+0),$E$12:$E$21,1)))/IF((IFERROR(INDEX($E$12:$E$21,MATCH(($A225+0),$E$12:$E$21,1)+1),INDEX($E$12:$E$21,MATCH(($A225+0),$E$12:$E$21,1))+1)-INDEX($E$12:$E$21,MATCH(($A225+0),$E$12:$E$21,1)))=0,1,IFERROR(INDEX($E$12:$E$21,MATCH(($A225+0),$E$12:$E$21,1)+1),INDEX($E$12:$E$21,MATCH(($A225+0),$E$12:$E$21,1))+1)-INDEX($E$12:$E$21,MATCH(($A225+0),$E$12:$E$21,1)))),$F$12))</f>
        <v/>
      </c>
      <c r="C225" s="30" t="str">
        <f>IF(($A225+1)&gt;$B$11, "", IFERROR((INDEX($F$12:$F$21,MATCH(($A225+1),$E$12:$E$21,1))+(($A225+1)-INDEX($E$12:$E$21,MATCH(($A225+1),$E$12:$E$21,1)))*(IFERROR(INDEX($F$12:$F$21,MATCH(($A225+1),$E$12:$E$21,1)+1),INDEX($F$12:$F$21,MATCH(($A225+1),$E$12:$E$21,1)))-INDEX($F$12:$F$21,MATCH(($A225+1),$E$12:$E$21,1)))/IF((IFERROR(INDEX($E$12:$E$21,MATCH(($A225+1),$E$12:$E$21,1)+1),INDEX($E$12:$E$21,MATCH(($A225+1),$E$12:$E$21,1))+1)-INDEX($E$12:$E$21,MATCH(($A225+1),$E$12:$E$21,1)))=0,1,IFERROR(INDEX($E$12:$E$21,MATCH(($A225+1),$E$12:$E$21,1)+1),INDEX($E$12:$E$21,MATCH(($A225+1),$E$12:$E$21,1))+1)-INDEX($E$12:$E$21,MATCH(($A225+1),$E$12:$E$21,1)))),$F$12))</f>
        <v/>
      </c>
      <c r="D225" s="30" t="str">
        <f>IF(($A225+2)&gt;$B$11, "", IFERROR((INDEX($F$12:$F$21,MATCH(($A225+2),$E$12:$E$21,1))+(($A225+2)-INDEX($E$12:$E$21,MATCH(($A225+2),$E$12:$E$21,1)))*(IFERROR(INDEX($F$12:$F$21,MATCH(($A225+2),$E$12:$E$21,1)+1),INDEX($F$12:$F$21,MATCH(($A225+2),$E$12:$E$21,1)))-INDEX($F$12:$F$21,MATCH(($A225+2),$E$12:$E$21,1)))/IF((IFERROR(INDEX($E$12:$E$21,MATCH(($A225+2),$E$12:$E$21,1)+1),INDEX($E$12:$E$21,MATCH(($A225+2),$E$12:$E$21,1))+1)-INDEX($E$12:$E$21,MATCH(($A225+2),$E$12:$E$21,1)))=0,1,IFERROR(INDEX($E$12:$E$21,MATCH(($A225+2),$E$12:$E$21,1)+1),INDEX($E$12:$E$21,MATCH(($A225+2),$E$12:$E$21,1))+1)-INDEX($E$12:$E$21,MATCH(($A225+2),$E$12:$E$21,1)))),$F$12))</f>
        <v/>
      </c>
      <c r="E225" s="30" t="str">
        <f>IF(($A225+3)&gt;$B$11, "", IFERROR((INDEX($F$12:$F$21,MATCH(($A225+3),$E$12:$E$21,1))+(($A225+3)-INDEX($E$12:$E$21,MATCH(($A225+3),$E$12:$E$21,1)))*(IFERROR(INDEX($F$12:$F$21,MATCH(($A225+3),$E$12:$E$21,1)+1),INDEX($F$12:$F$21,MATCH(($A225+3),$E$12:$E$21,1)))-INDEX($F$12:$F$21,MATCH(($A225+3),$E$12:$E$21,1)))/IF((IFERROR(INDEX($E$12:$E$21,MATCH(($A225+3),$E$12:$E$21,1)+1),INDEX($E$12:$E$21,MATCH(($A225+3),$E$12:$E$21,1))+1)-INDEX($E$12:$E$21,MATCH(($A225+3),$E$12:$E$21,1)))=0,1,IFERROR(INDEX($E$12:$E$21,MATCH(($A225+3),$E$12:$E$21,1)+1),INDEX($E$12:$E$21,MATCH(($A225+3),$E$12:$E$21,1))+1)-INDEX($E$12:$E$21,MATCH(($A225+3),$E$12:$E$21,1)))),$F$12))</f>
        <v/>
      </c>
      <c r="F225" s="30" t="str">
        <f>IF(($A225+4)&gt;$B$11, "", IFERROR((INDEX($F$12:$F$21,MATCH(($A225+4),$E$12:$E$21,1))+(($A225+4)-INDEX($E$12:$E$21,MATCH(($A225+4),$E$12:$E$21,1)))*(IFERROR(INDEX($F$12:$F$21,MATCH(($A225+4),$E$12:$E$21,1)+1),INDEX($F$12:$F$21,MATCH(($A225+4),$E$12:$E$21,1)))-INDEX($F$12:$F$21,MATCH(($A225+4),$E$12:$E$21,1)))/IF((IFERROR(INDEX($E$12:$E$21,MATCH(($A225+4),$E$12:$E$21,1)+1),INDEX($E$12:$E$21,MATCH(($A225+4),$E$12:$E$21,1))+1)-INDEX($E$12:$E$21,MATCH(($A225+4),$E$12:$E$21,1)))=0,1,IFERROR(INDEX($E$12:$E$21,MATCH(($A225+4),$E$12:$E$21,1)+1),INDEX($E$12:$E$21,MATCH(($A225+4),$E$12:$E$21,1))+1)-INDEX($E$12:$E$21,MATCH(($A225+4),$E$12:$E$21,1)))),$F$12))</f>
        <v/>
      </c>
      <c r="G225" s="30" t="str">
        <f>IF(($A225+5)&gt;$B$11, "", IFERROR((INDEX($F$12:$F$21,MATCH(($A225+5),$E$12:$E$21,1))+(($A225+5)-INDEX($E$12:$E$21,MATCH(($A225+5),$E$12:$E$21,1)))*(IFERROR(INDEX($F$12:$F$21,MATCH(($A225+5),$E$12:$E$21,1)+1),INDEX($F$12:$F$21,MATCH(($A225+5),$E$12:$E$21,1)))-INDEX($F$12:$F$21,MATCH(($A225+5),$E$12:$E$21,1)))/IF((IFERROR(INDEX($E$12:$E$21,MATCH(($A225+5),$E$12:$E$21,1)+1),INDEX($E$12:$E$21,MATCH(($A225+5),$E$12:$E$21,1))+1)-INDEX($E$12:$E$21,MATCH(($A225+5),$E$12:$E$21,1)))=0,1,IFERROR(INDEX($E$12:$E$21,MATCH(($A225+5),$E$12:$E$21,1)+1),INDEX($E$12:$E$21,MATCH(($A225+5),$E$12:$E$21,1))+1)-INDEX($E$12:$E$21,MATCH(($A225+5),$E$12:$E$21,1)))),$F$12))</f>
        <v/>
      </c>
      <c r="H225" s="30" t="str">
        <f>IF(($A225+6)&gt;$B$11, "", IFERROR((INDEX($F$12:$F$21,MATCH(($A225+6),$E$12:$E$21,1))+(($A225+6)-INDEX($E$12:$E$21,MATCH(($A225+6),$E$12:$E$21,1)))*(IFERROR(INDEX($F$12:$F$21,MATCH(($A225+6),$E$12:$E$21,1)+1),INDEX($F$12:$F$21,MATCH(($A225+6),$E$12:$E$21,1)))-INDEX($F$12:$F$21,MATCH(($A225+6),$E$12:$E$21,1)))/IF((IFERROR(INDEX($E$12:$E$21,MATCH(($A225+6),$E$12:$E$21,1)+1),INDEX($E$12:$E$21,MATCH(($A225+6),$E$12:$E$21,1))+1)-INDEX($E$12:$E$21,MATCH(($A225+6),$E$12:$E$21,1)))=0,1,IFERROR(INDEX($E$12:$E$21,MATCH(($A225+6),$E$12:$E$21,1)+1),INDEX($E$12:$E$21,MATCH(($A225+6),$E$12:$E$21,1))+1)-INDEX($E$12:$E$21,MATCH(($A225+6),$E$12:$E$21,1)))),$F$12))</f>
        <v/>
      </c>
      <c r="I225" s="30" t="str">
        <f>IF(($A225+7)&gt;$B$11, "", IFERROR((INDEX($F$12:$F$21,MATCH(($A225+7),$E$12:$E$21,1))+(($A225+7)-INDEX($E$12:$E$21,MATCH(($A225+7),$E$12:$E$21,1)))*(IFERROR(INDEX($F$12:$F$21,MATCH(($A225+7),$E$12:$E$21,1)+1),INDEX($F$12:$F$21,MATCH(($A225+7),$E$12:$E$21,1)))-INDEX($F$12:$F$21,MATCH(($A225+7),$E$12:$E$21,1)))/IF((IFERROR(INDEX($E$12:$E$21,MATCH(($A225+7),$E$12:$E$21,1)+1),INDEX($E$12:$E$21,MATCH(($A225+7),$E$12:$E$21,1))+1)-INDEX($E$12:$E$21,MATCH(($A225+7),$E$12:$E$21,1)))=0,1,IFERROR(INDEX($E$12:$E$21,MATCH(($A225+7),$E$12:$E$21,1)+1),INDEX($E$12:$E$21,MATCH(($A225+7),$E$12:$E$21,1))+1)-INDEX($E$12:$E$21,MATCH(($A225+7),$E$12:$E$21,1)))),$F$12))</f>
        <v/>
      </c>
      <c r="J225" s="30" t="str">
        <f>IF(($A225+8)&gt;$B$11, "", IFERROR((INDEX($F$12:$F$21,MATCH(($A225+8),$E$12:$E$21,1))+(($A225+8)-INDEX($E$12:$E$21,MATCH(($A225+8),$E$12:$E$21,1)))*(IFERROR(INDEX($F$12:$F$21,MATCH(($A225+8),$E$12:$E$21,1)+1),INDEX($F$12:$F$21,MATCH(($A225+8),$E$12:$E$21,1)))-INDEX($F$12:$F$21,MATCH(($A225+8),$E$12:$E$21,1)))/IF((IFERROR(INDEX($E$12:$E$21,MATCH(($A225+8),$E$12:$E$21,1)+1),INDEX($E$12:$E$21,MATCH(($A225+8),$E$12:$E$21,1))+1)-INDEX($E$12:$E$21,MATCH(($A225+8),$E$12:$E$21,1)))=0,1,IFERROR(INDEX($E$12:$E$21,MATCH(($A225+8),$E$12:$E$21,1)+1),INDEX($E$12:$E$21,MATCH(($A225+8),$E$12:$E$21,1))+1)-INDEX($E$12:$E$21,MATCH(($A225+8),$E$12:$E$21,1)))),$F$12))</f>
        <v/>
      </c>
      <c r="K225" s="30" t="str">
        <f>IF(($A225+9)&gt;$B$11, "", IFERROR((INDEX($F$12:$F$21,MATCH(($A225+9),$E$12:$E$21,1))+(($A225+9)-INDEX($E$12:$E$21,MATCH(($A225+9),$E$12:$E$21,1)))*(IFERROR(INDEX($F$12:$F$21,MATCH(($A225+9),$E$12:$E$21,1)+1),INDEX($F$12:$F$21,MATCH(($A225+9),$E$12:$E$21,1)))-INDEX($F$12:$F$21,MATCH(($A225+9),$E$12:$E$21,1)))/IF((IFERROR(INDEX($E$12:$E$21,MATCH(($A225+9),$E$12:$E$21,1)+1),INDEX($E$12:$E$21,MATCH(($A225+9),$E$12:$E$21,1))+1)-INDEX($E$12:$E$21,MATCH(($A225+9),$E$12:$E$21,1)))=0,1,IFERROR(INDEX($E$12:$E$21,MATCH(($A225+9),$E$12:$E$21,1)+1),INDEX($E$12:$E$21,MATCH(($A225+9),$E$12:$E$21,1))+1)-INDEX($E$12:$E$21,MATCH(($A225+9),$E$12:$E$21,1)))),$F$12))</f>
        <v/>
      </c>
    </row>
    <row r="226">
      <c r="A226" s="11">
        <v>280</v>
      </c>
      <c r="B226" s="30" t="str">
        <f>IF(($A226+0)&gt;$B$11, "", IFERROR((INDEX($F$12:$F$21,MATCH(($A226+0),$E$12:$E$21,1))+(($A226+0)-INDEX($E$12:$E$21,MATCH(($A226+0),$E$12:$E$21,1)))*(IFERROR(INDEX($F$12:$F$21,MATCH(($A226+0),$E$12:$E$21,1)+1),INDEX($F$12:$F$21,MATCH(($A226+0),$E$12:$E$21,1)))-INDEX($F$12:$F$21,MATCH(($A226+0),$E$12:$E$21,1)))/IF((IFERROR(INDEX($E$12:$E$21,MATCH(($A226+0),$E$12:$E$21,1)+1),INDEX($E$12:$E$21,MATCH(($A226+0),$E$12:$E$21,1))+1)-INDEX($E$12:$E$21,MATCH(($A226+0),$E$12:$E$21,1)))=0,1,IFERROR(INDEX($E$12:$E$21,MATCH(($A226+0),$E$12:$E$21,1)+1),INDEX($E$12:$E$21,MATCH(($A226+0),$E$12:$E$21,1))+1)-INDEX($E$12:$E$21,MATCH(($A226+0),$E$12:$E$21,1)))),$F$12))</f>
        <v/>
      </c>
      <c r="C226" s="30" t="str">
        <f>IF(($A226+1)&gt;$B$11, "", IFERROR((INDEX($F$12:$F$21,MATCH(($A226+1),$E$12:$E$21,1))+(($A226+1)-INDEX($E$12:$E$21,MATCH(($A226+1),$E$12:$E$21,1)))*(IFERROR(INDEX($F$12:$F$21,MATCH(($A226+1),$E$12:$E$21,1)+1),INDEX($F$12:$F$21,MATCH(($A226+1),$E$12:$E$21,1)))-INDEX($F$12:$F$21,MATCH(($A226+1),$E$12:$E$21,1)))/IF((IFERROR(INDEX($E$12:$E$21,MATCH(($A226+1),$E$12:$E$21,1)+1),INDEX($E$12:$E$21,MATCH(($A226+1),$E$12:$E$21,1))+1)-INDEX($E$12:$E$21,MATCH(($A226+1),$E$12:$E$21,1)))=0,1,IFERROR(INDEX($E$12:$E$21,MATCH(($A226+1),$E$12:$E$21,1)+1),INDEX($E$12:$E$21,MATCH(($A226+1),$E$12:$E$21,1))+1)-INDEX($E$12:$E$21,MATCH(($A226+1),$E$12:$E$21,1)))),$F$12))</f>
        <v/>
      </c>
      <c r="D226" s="30" t="str">
        <f>IF(($A226+2)&gt;$B$11, "", IFERROR((INDEX($F$12:$F$21,MATCH(($A226+2),$E$12:$E$21,1))+(($A226+2)-INDEX($E$12:$E$21,MATCH(($A226+2),$E$12:$E$21,1)))*(IFERROR(INDEX($F$12:$F$21,MATCH(($A226+2),$E$12:$E$21,1)+1),INDEX($F$12:$F$21,MATCH(($A226+2),$E$12:$E$21,1)))-INDEX($F$12:$F$21,MATCH(($A226+2),$E$12:$E$21,1)))/IF((IFERROR(INDEX($E$12:$E$21,MATCH(($A226+2),$E$12:$E$21,1)+1),INDEX($E$12:$E$21,MATCH(($A226+2),$E$12:$E$21,1))+1)-INDEX($E$12:$E$21,MATCH(($A226+2),$E$12:$E$21,1)))=0,1,IFERROR(INDEX($E$12:$E$21,MATCH(($A226+2),$E$12:$E$21,1)+1),INDEX($E$12:$E$21,MATCH(($A226+2),$E$12:$E$21,1))+1)-INDEX($E$12:$E$21,MATCH(($A226+2),$E$12:$E$21,1)))),$F$12))</f>
        <v/>
      </c>
      <c r="E226" s="30" t="str">
        <f>IF(($A226+3)&gt;$B$11, "", IFERROR((INDEX($F$12:$F$21,MATCH(($A226+3),$E$12:$E$21,1))+(($A226+3)-INDEX($E$12:$E$21,MATCH(($A226+3),$E$12:$E$21,1)))*(IFERROR(INDEX($F$12:$F$21,MATCH(($A226+3),$E$12:$E$21,1)+1),INDEX($F$12:$F$21,MATCH(($A226+3),$E$12:$E$21,1)))-INDEX($F$12:$F$21,MATCH(($A226+3),$E$12:$E$21,1)))/IF((IFERROR(INDEX($E$12:$E$21,MATCH(($A226+3),$E$12:$E$21,1)+1),INDEX($E$12:$E$21,MATCH(($A226+3),$E$12:$E$21,1))+1)-INDEX($E$12:$E$21,MATCH(($A226+3),$E$12:$E$21,1)))=0,1,IFERROR(INDEX($E$12:$E$21,MATCH(($A226+3),$E$12:$E$21,1)+1),INDEX($E$12:$E$21,MATCH(($A226+3),$E$12:$E$21,1))+1)-INDEX($E$12:$E$21,MATCH(($A226+3),$E$12:$E$21,1)))),$F$12))</f>
        <v/>
      </c>
      <c r="F226" s="30" t="str">
        <f>IF(($A226+4)&gt;$B$11, "", IFERROR((INDEX($F$12:$F$21,MATCH(($A226+4),$E$12:$E$21,1))+(($A226+4)-INDEX($E$12:$E$21,MATCH(($A226+4),$E$12:$E$21,1)))*(IFERROR(INDEX($F$12:$F$21,MATCH(($A226+4),$E$12:$E$21,1)+1),INDEX($F$12:$F$21,MATCH(($A226+4),$E$12:$E$21,1)))-INDEX($F$12:$F$21,MATCH(($A226+4),$E$12:$E$21,1)))/IF((IFERROR(INDEX($E$12:$E$21,MATCH(($A226+4),$E$12:$E$21,1)+1),INDEX($E$12:$E$21,MATCH(($A226+4),$E$12:$E$21,1))+1)-INDEX($E$12:$E$21,MATCH(($A226+4),$E$12:$E$21,1)))=0,1,IFERROR(INDEX($E$12:$E$21,MATCH(($A226+4),$E$12:$E$21,1)+1),INDEX($E$12:$E$21,MATCH(($A226+4),$E$12:$E$21,1))+1)-INDEX($E$12:$E$21,MATCH(($A226+4),$E$12:$E$21,1)))),$F$12))</f>
        <v/>
      </c>
      <c r="G226" s="30" t="str">
        <f>IF(($A226+5)&gt;$B$11, "", IFERROR((INDEX($F$12:$F$21,MATCH(($A226+5),$E$12:$E$21,1))+(($A226+5)-INDEX($E$12:$E$21,MATCH(($A226+5),$E$12:$E$21,1)))*(IFERROR(INDEX($F$12:$F$21,MATCH(($A226+5),$E$12:$E$21,1)+1),INDEX($F$12:$F$21,MATCH(($A226+5),$E$12:$E$21,1)))-INDEX($F$12:$F$21,MATCH(($A226+5),$E$12:$E$21,1)))/IF((IFERROR(INDEX($E$12:$E$21,MATCH(($A226+5),$E$12:$E$21,1)+1),INDEX($E$12:$E$21,MATCH(($A226+5),$E$12:$E$21,1))+1)-INDEX($E$12:$E$21,MATCH(($A226+5),$E$12:$E$21,1)))=0,1,IFERROR(INDEX($E$12:$E$21,MATCH(($A226+5),$E$12:$E$21,1)+1),INDEX($E$12:$E$21,MATCH(($A226+5),$E$12:$E$21,1))+1)-INDEX($E$12:$E$21,MATCH(($A226+5),$E$12:$E$21,1)))),$F$12))</f>
        <v/>
      </c>
      <c r="H226" s="30" t="str">
        <f>IF(($A226+6)&gt;$B$11, "", IFERROR((INDEX($F$12:$F$21,MATCH(($A226+6),$E$12:$E$21,1))+(($A226+6)-INDEX($E$12:$E$21,MATCH(($A226+6),$E$12:$E$21,1)))*(IFERROR(INDEX($F$12:$F$21,MATCH(($A226+6),$E$12:$E$21,1)+1),INDEX($F$12:$F$21,MATCH(($A226+6),$E$12:$E$21,1)))-INDEX($F$12:$F$21,MATCH(($A226+6),$E$12:$E$21,1)))/IF((IFERROR(INDEX($E$12:$E$21,MATCH(($A226+6),$E$12:$E$21,1)+1),INDEX($E$12:$E$21,MATCH(($A226+6),$E$12:$E$21,1))+1)-INDEX($E$12:$E$21,MATCH(($A226+6),$E$12:$E$21,1)))=0,1,IFERROR(INDEX($E$12:$E$21,MATCH(($A226+6),$E$12:$E$21,1)+1),INDEX($E$12:$E$21,MATCH(($A226+6),$E$12:$E$21,1))+1)-INDEX($E$12:$E$21,MATCH(($A226+6),$E$12:$E$21,1)))),$F$12))</f>
        <v/>
      </c>
      <c r="I226" s="30" t="str">
        <f>IF(($A226+7)&gt;$B$11, "", IFERROR((INDEX($F$12:$F$21,MATCH(($A226+7),$E$12:$E$21,1))+(($A226+7)-INDEX($E$12:$E$21,MATCH(($A226+7),$E$12:$E$21,1)))*(IFERROR(INDEX($F$12:$F$21,MATCH(($A226+7),$E$12:$E$21,1)+1),INDEX($F$12:$F$21,MATCH(($A226+7),$E$12:$E$21,1)))-INDEX($F$12:$F$21,MATCH(($A226+7),$E$12:$E$21,1)))/IF((IFERROR(INDEX($E$12:$E$21,MATCH(($A226+7),$E$12:$E$21,1)+1),INDEX($E$12:$E$21,MATCH(($A226+7),$E$12:$E$21,1))+1)-INDEX($E$12:$E$21,MATCH(($A226+7),$E$12:$E$21,1)))=0,1,IFERROR(INDEX($E$12:$E$21,MATCH(($A226+7),$E$12:$E$21,1)+1),INDEX($E$12:$E$21,MATCH(($A226+7),$E$12:$E$21,1))+1)-INDEX($E$12:$E$21,MATCH(($A226+7),$E$12:$E$21,1)))),$F$12))</f>
        <v/>
      </c>
      <c r="J226" s="30" t="str">
        <f>IF(($A226+8)&gt;$B$11, "", IFERROR((INDEX($F$12:$F$21,MATCH(($A226+8),$E$12:$E$21,1))+(($A226+8)-INDEX($E$12:$E$21,MATCH(($A226+8),$E$12:$E$21,1)))*(IFERROR(INDEX($F$12:$F$21,MATCH(($A226+8),$E$12:$E$21,1)+1),INDEX($F$12:$F$21,MATCH(($A226+8),$E$12:$E$21,1)))-INDEX($F$12:$F$21,MATCH(($A226+8),$E$12:$E$21,1)))/IF((IFERROR(INDEX($E$12:$E$21,MATCH(($A226+8),$E$12:$E$21,1)+1),INDEX($E$12:$E$21,MATCH(($A226+8),$E$12:$E$21,1))+1)-INDEX($E$12:$E$21,MATCH(($A226+8),$E$12:$E$21,1)))=0,1,IFERROR(INDEX($E$12:$E$21,MATCH(($A226+8),$E$12:$E$21,1)+1),INDEX($E$12:$E$21,MATCH(($A226+8),$E$12:$E$21,1))+1)-INDEX($E$12:$E$21,MATCH(($A226+8),$E$12:$E$21,1)))),$F$12))</f>
        <v/>
      </c>
      <c r="K226" s="30" t="str">
        <f>IF(($A226+9)&gt;$B$11, "", IFERROR((INDEX($F$12:$F$21,MATCH(($A226+9),$E$12:$E$21,1))+(($A226+9)-INDEX($E$12:$E$21,MATCH(($A226+9),$E$12:$E$21,1)))*(IFERROR(INDEX($F$12:$F$21,MATCH(($A226+9),$E$12:$E$21,1)+1),INDEX($F$12:$F$21,MATCH(($A226+9),$E$12:$E$21,1)))-INDEX($F$12:$F$21,MATCH(($A226+9),$E$12:$E$21,1)))/IF((IFERROR(INDEX($E$12:$E$21,MATCH(($A226+9),$E$12:$E$21,1)+1),INDEX($E$12:$E$21,MATCH(($A226+9),$E$12:$E$21,1))+1)-INDEX($E$12:$E$21,MATCH(($A226+9),$E$12:$E$21,1)))=0,1,IFERROR(INDEX($E$12:$E$21,MATCH(($A226+9),$E$12:$E$21,1)+1),INDEX($E$12:$E$21,MATCH(($A226+9),$E$12:$E$21,1))+1)-INDEX($E$12:$E$21,MATCH(($A226+9),$E$12:$E$21,1)))),$F$12))</f>
        <v/>
      </c>
    </row>
    <row r="227">
      <c r="A227" s="11">
        <v>290</v>
      </c>
      <c r="B227" s="30" t="str">
        <f>IF(($A227+0)&gt;$B$11, "", IFERROR((INDEX($F$12:$F$21,MATCH(($A227+0),$E$12:$E$21,1))+(($A227+0)-INDEX($E$12:$E$21,MATCH(($A227+0),$E$12:$E$21,1)))*(IFERROR(INDEX($F$12:$F$21,MATCH(($A227+0),$E$12:$E$21,1)+1),INDEX($F$12:$F$21,MATCH(($A227+0),$E$12:$E$21,1)))-INDEX($F$12:$F$21,MATCH(($A227+0),$E$12:$E$21,1)))/IF((IFERROR(INDEX($E$12:$E$21,MATCH(($A227+0),$E$12:$E$21,1)+1),INDEX($E$12:$E$21,MATCH(($A227+0),$E$12:$E$21,1))+1)-INDEX($E$12:$E$21,MATCH(($A227+0),$E$12:$E$21,1)))=0,1,IFERROR(INDEX($E$12:$E$21,MATCH(($A227+0),$E$12:$E$21,1)+1),INDEX($E$12:$E$21,MATCH(($A227+0),$E$12:$E$21,1))+1)-INDEX($E$12:$E$21,MATCH(($A227+0),$E$12:$E$21,1)))),$F$12))</f>
        <v/>
      </c>
      <c r="C227" s="30" t="str">
        <f>IF(($A227+1)&gt;$B$11, "", IFERROR((INDEX($F$12:$F$21,MATCH(($A227+1),$E$12:$E$21,1))+(($A227+1)-INDEX($E$12:$E$21,MATCH(($A227+1),$E$12:$E$21,1)))*(IFERROR(INDEX($F$12:$F$21,MATCH(($A227+1),$E$12:$E$21,1)+1),INDEX($F$12:$F$21,MATCH(($A227+1),$E$12:$E$21,1)))-INDEX($F$12:$F$21,MATCH(($A227+1),$E$12:$E$21,1)))/IF((IFERROR(INDEX($E$12:$E$21,MATCH(($A227+1),$E$12:$E$21,1)+1),INDEX($E$12:$E$21,MATCH(($A227+1),$E$12:$E$21,1))+1)-INDEX($E$12:$E$21,MATCH(($A227+1),$E$12:$E$21,1)))=0,1,IFERROR(INDEX($E$12:$E$21,MATCH(($A227+1),$E$12:$E$21,1)+1),INDEX($E$12:$E$21,MATCH(($A227+1),$E$12:$E$21,1))+1)-INDEX($E$12:$E$21,MATCH(($A227+1),$E$12:$E$21,1)))),$F$12))</f>
        <v/>
      </c>
      <c r="D227" s="30" t="str">
        <f>IF(($A227+2)&gt;$B$11, "", IFERROR((INDEX($F$12:$F$21,MATCH(($A227+2),$E$12:$E$21,1))+(($A227+2)-INDEX($E$12:$E$21,MATCH(($A227+2),$E$12:$E$21,1)))*(IFERROR(INDEX($F$12:$F$21,MATCH(($A227+2),$E$12:$E$21,1)+1),INDEX($F$12:$F$21,MATCH(($A227+2),$E$12:$E$21,1)))-INDEX($F$12:$F$21,MATCH(($A227+2),$E$12:$E$21,1)))/IF((IFERROR(INDEX($E$12:$E$21,MATCH(($A227+2),$E$12:$E$21,1)+1),INDEX($E$12:$E$21,MATCH(($A227+2),$E$12:$E$21,1))+1)-INDEX($E$12:$E$21,MATCH(($A227+2),$E$12:$E$21,1)))=0,1,IFERROR(INDEX($E$12:$E$21,MATCH(($A227+2),$E$12:$E$21,1)+1),INDEX($E$12:$E$21,MATCH(($A227+2),$E$12:$E$21,1))+1)-INDEX($E$12:$E$21,MATCH(($A227+2),$E$12:$E$21,1)))),$F$12))</f>
        <v/>
      </c>
      <c r="E227" s="30" t="str">
        <f>IF(($A227+3)&gt;$B$11, "", IFERROR((INDEX($F$12:$F$21,MATCH(($A227+3),$E$12:$E$21,1))+(($A227+3)-INDEX($E$12:$E$21,MATCH(($A227+3),$E$12:$E$21,1)))*(IFERROR(INDEX($F$12:$F$21,MATCH(($A227+3),$E$12:$E$21,1)+1),INDEX($F$12:$F$21,MATCH(($A227+3),$E$12:$E$21,1)))-INDEX($F$12:$F$21,MATCH(($A227+3),$E$12:$E$21,1)))/IF((IFERROR(INDEX($E$12:$E$21,MATCH(($A227+3),$E$12:$E$21,1)+1),INDEX($E$12:$E$21,MATCH(($A227+3),$E$12:$E$21,1))+1)-INDEX($E$12:$E$21,MATCH(($A227+3),$E$12:$E$21,1)))=0,1,IFERROR(INDEX($E$12:$E$21,MATCH(($A227+3),$E$12:$E$21,1)+1),INDEX($E$12:$E$21,MATCH(($A227+3),$E$12:$E$21,1))+1)-INDEX($E$12:$E$21,MATCH(($A227+3),$E$12:$E$21,1)))),$F$12))</f>
        <v/>
      </c>
      <c r="F227" s="30" t="str">
        <f>IF(($A227+4)&gt;$B$11, "", IFERROR((INDEX($F$12:$F$21,MATCH(($A227+4),$E$12:$E$21,1))+(($A227+4)-INDEX($E$12:$E$21,MATCH(($A227+4),$E$12:$E$21,1)))*(IFERROR(INDEX($F$12:$F$21,MATCH(($A227+4),$E$12:$E$21,1)+1),INDEX($F$12:$F$21,MATCH(($A227+4),$E$12:$E$21,1)))-INDEX($F$12:$F$21,MATCH(($A227+4),$E$12:$E$21,1)))/IF((IFERROR(INDEX($E$12:$E$21,MATCH(($A227+4),$E$12:$E$21,1)+1),INDEX($E$12:$E$21,MATCH(($A227+4),$E$12:$E$21,1))+1)-INDEX($E$12:$E$21,MATCH(($A227+4),$E$12:$E$21,1)))=0,1,IFERROR(INDEX($E$12:$E$21,MATCH(($A227+4),$E$12:$E$21,1)+1),INDEX($E$12:$E$21,MATCH(($A227+4),$E$12:$E$21,1))+1)-INDEX($E$12:$E$21,MATCH(($A227+4),$E$12:$E$21,1)))),$F$12))</f>
        <v/>
      </c>
      <c r="G227" s="30" t="str">
        <f>IF(($A227+5)&gt;$B$11, "", IFERROR((INDEX($F$12:$F$21,MATCH(($A227+5),$E$12:$E$21,1))+(($A227+5)-INDEX($E$12:$E$21,MATCH(($A227+5),$E$12:$E$21,1)))*(IFERROR(INDEX($F$12:$F$21,MATCH(($A227+5),$E$12:$E$21,1)+1),INDEX($F$12:$F$21,MATCH(($A227+5),$E$12:$E$21,1)))-INDEX($F$12:$F$21,MATCH(($A227+5),$E$12:$E$21,1)))/IF((IFERROR(INDEX($E$12:$E$21,MATCH(($A227+5),$E$12:$E$21,1)+1),INDEX($E$12:$E$21,MATCH(($A227+5),$E$12:$E$21,1))+1)-INDEX($E$12:$E$21,MATCH(($A227+5),$E$12:$E$21,1)))=0,1,IFERROR(INDEX($E$12:$E$21,MATCH(($A227+5),$E$12:$E$21,1)+1),INDEX($E$12:$E$21,MATCH(($A227+5),$E$12:$E$21,1))+1)-INDEX($E$12:$E$21,MATCH(($A227+5),$E$12:$E$21,1)))),$F$12))</f>
        <v/>
      </c>
      <c r="H227" s="30" t="str">
        <f>IF(($A227+6)&gt;$B$11, "", IFERROR((INDEX($F$12:$F$21,MATCH(($A227+6),$E$12:$E$21,1))+(($A227+6)-INDEX($E$12:$E$21,MATCH(($A227+6),$E$12:$E$21,1)))*(IFERROR(INDEX($F$12:$F$21,MATCH(($A227+6),$E$12:$E$21,1)+1),INDEX($F$12:$F$21,MATCH(($A227+6),$E$12:$E$21,1)))-INDEX($F$12:$F$21,MATCH(($A227+6),$E$12:$E$21,1)))/IF((IFERROR(INDEX($E$12:$E$21,MATCH(($A227+6),$E$12:$E$21,1)+1),INDEX($E$12:$E$21,MATCH(($A227+6),$E$12:$E$21,1))+1)-INDEX($E$12:$E$21,MATCH(($A227+6),$E$12:$E$21,1)))=0,1,IFERROR(INDEX($E$12:$E$21,MATCH(($A227+6),$E$12:$E$21,1)+1),INDEX($E$12:$E$21,MATCH(($A227+6),$E$12:$E$21,1))+1)-INDEX($E$12:$E$21,MATCH(($A227+6),$E$12:$E$21,1)))),$F$12))</f>
        <v/>
      </c>
      <c r="I227" s="30" t="str">
        <f>IF(($A227+7)&gt;$B$11, "", IFERROR((INDEX($F$12:$F$21,MATCH(($A227+7),$E$12:$E$21,1))+(($A227+7)-INDEX($E$12:$E$21,MATCH(($A227+7),$E$12:$E$21,1)))*(IFERROR(INDEX($F$12:$F$21,MATCH(($A227+7),$E$12:$E$21,1)+1),INDEX($F$12:$F$21,MATCH(($A227+7),$E$12:$E$21,1)))-INDEX($F$12:$F$21,MATCH(($A227+7),$E$12:$E$21,1)))/IF((IFERROR(INDEX($E$12:$E$21,MATCH(($A227+7),$E$12:$E$21,1)+1),INDEX($E$12:$E$21,MATCH(($A227+7),$E$12:$E$21,1))+1)-INDEX($E$12:$E$21,MATCH(($A227+7),$E$12:$E$21,1)))=0,1,IFERROR(INDEX($E$12:$E$21,MATCH(($A227+7),$E$12:$E$21,1)+1),INDEX($E$12:$E$21,MATCH(($A227+7),$E$12:$E$21,1))+1)-INDEX($E$12:$E$21,MATCH(($A227+7),$E$12:$E$21,1)))),$F$12))</f>
        <v/>
      </c>
      <c r="J227" s="30" t="str">
        <f>IF(($A227+8)&gt;$B$11, "", IFERROR((INDEX($F$12:$F$21,MATCH(($A227+8),$E$12:$E$21,1))+(($A227+8)-INDEX($E$12:$E$21,MATCH(($A227+8),$E$12:$E$21,1)))*(IFERROR(INDEX($F$12:$F$21,MATCH(($A227+8),$E$12:$E$21,1)+1),INDEX($F$12:$F$21,MATCH(($A227+8),$E$12:$E$21,1)))-INDEX($F$12:$F$21,MATCH(($A227+8),$E$12:$E$21,1)))/IF((IFERROR(INDEX($E$12:$E$21,MATCH(($A227+8),$E$12:$E$21,1)+1),INDEX($E$12:$E$21,MATCH(($A227+8),$E$12:$E$21,1))+1)-INDEX($E$12:$E$21,MATCH(($A227+8),$E$12:$E$21,1)))=0,1,IFERROR(INDEX($E$12:$E$21,MATCH(($A227+8),$E$12:$E$21,1)+1),INDEX($E$12:$E$21,MATCH(($A227+8),$E$12:$E$21,1))+1)-INDEX($E$12:$E$21,MATCH(($A227+8),$E$12:$E$21,1)))),$F$12))</f>
        <v/>
      </c>
      <c r="K227" s="30" t="str">
        <f>IF(($A227+9)&gt;$B$11, "", IFERROR((INDEX($F$12:$F$21,MATCH(($A227+9),$E$12:$E$21,1))+(($A227+9)-INDEX($E$12:$E$21,MATCH(($A227+9),$E$12:$E$21,1)))*(IFERROR(INDEX($F$12:$F$21,MATCH(($A227+9),$E$12:$E$21,1)+1),INDEX($F$12:$F$21,MATCH(($A227+9),$E$12:$E$21,1)))-INDEX($F$12:$F$21,MATCH(($A227+9),$E$12:$E$21,1)))/IF((IFERROR(INDEX($E$12:$E$21,MATCH(($A227+9),$E$12:$E$21,1)+1),INDEX($E$12:$E$21,MATCH(($A227+9),$E$12:$E$21,1))+1)-INDEX($E$12:$E$21,MATCH(($A227+9),$E$12:$E$21,1)))=0,1,IFERROR(INDEX($E$12:$E$21,MATCH(($A227+9),$E$12:$E$21,1)+1),INDEX($E$12:$E$21,MATCH(($A227+9),$E$12:$E$21,1))+1)-INDEX($E$12:$E$21,MATCH(($A227+9),$E$12:$E$21,1)))),$F$12))</f>
        <v/>
      </c>
    </row>
    <row r="228">
      <c r="A228" s="11">
        <v>300</v>
      </c>
      <c r="B228" s="30" t="str">
        <f>IF(($A228+0)&gt;$B$11, "", IFERROR((INDEX($F$12:$F$21,MATCH(($A228+0),$E$12:$E$21,1))+(($A228+0)-INDEX($E$12:$E$21,MATCH(($A228+0),$E$12:$E$21,1)))*(IFERROR(INDEX($F$12:$F$21,MATCH(($A228+0),$E$12:$E$21,1)+1),INDEX($F$12:$F$21,MATCH(($A228+0),$E$12:$E$21,1)))-INDEX($F$12:$F$21,MATCH(($A228+0),$E$12:$E$21,1)))/IF((IFERROR(INDEX($E$12:$E$21,MATCH(($A228+0),$E$12:$E$21,1)+1),INDEX($E$12:$E$21,MATCH(($A228+0),$E$12:$E$21,1))+1)-INDEX($E$12:$E$21,MATCH(($A228+0),$E$12:$E$21,1)))=0,1,IFERROR(INDEX($E$12:$E$21,MATCH(($A228+0),$E$12:$E$21,1)+1),INDEX($E$12:$E$21,MATCH(($A228+0),$E$12:$E$21,1))+1)-INDEX($E$12:$E$21,MATCH(($A228+0),$E$12:$E$21,1)))),$F$12))</f>
        <v/>
      </c>
      <c r="C228" s="30" t="str">
        <f>IF(($A228+1)&gt;$B$11, "", IFERROR((INDEX($F$12:$F$21,MATCH(($A228+1),$E$12:$E$21,1))+(($A228+1)-INDEX($E$12:$E$21,MATCH(($A228+1),$E$12:$E$21,1)))*(IFERROR(INDEX($F$12:$F$21,MATCH(($A228+1),$E$12:$E$21,1)+1),INDEX($F$12:$F$21,MATCH(($A228+1),$E$12:$E$21,1)))-INDEX($F$12:$F$21,MATCH(($A228+1),$E$12:$E$21,1)))/IF((IFERROR(INDEX($E$12:$E$21,MATCH(($A228+1),$E$12:$E$21,1)+1),INDEX($E$12:$E$21,MATCH(($A228+1),$E$12:$E$21,1))+1)-INDEX($E$12:$E$21,MATCH(($A228+1),$E$12:$E$21,1)))=0,1,IFERROR(INDEX($E$12:$E$21,MATCH(($A228+1),$E$12:$E$21,1)+1),INDEX($E$12:$E$21,MATCH(($A228+1),$E$12:$E$21,1))+1)-INDEX($E$12:$E$21,MATCH(($A228+1),$E$12:$E$21,1)))),$F$12))</f>
        <v/>
      </c>
      <c r="D228" s="30" t="str">
        <f>IF(($A228+2)&gt;$B$11, "", IFERROR((INDEX($F$12:$F$21,MATCH(($A228+2),$E$12:$E$21,1))+(($A228+2)-INDEX($E$12:$E$21,MATCH(($A228+2),$E$12:$E$21,1)))*(IFERROR(INDEX($F$12:$F$21,MATCH(($A228+2),$E$12:$E$21,1)+1),INDEX($F$12:$F$21,MATCH(($A228+2),$E$12:$E$21,1)))-INDEX($F$12:$F$21,MATCH(($A228+2),$E$12:$E$21,1)))/IF((IFERROR(INDEX($E$12:$E$21,MATCH(($A228+2),$E$12:$E$21,1)+1),INDEX($E$12:$E$21,MATCH(($A228+2),$E$12:$E$21,1))+1)-INDEX($E$12:$E$21,MATCH(($A228+2),$E$12:$E$21,1)))=0,1,IFERROR(INDEX($E$12:$E$21,MATCH(($A228+2),$E$12:$E$21,1)+1),INDEX($E$12:$E$21,MATCH(($A228+2),$E$12:$E$21,1))+1)-INDEX($E$12:$E$21,MATCH(($A228+2),$E$12:$E$21,1)))),$F$12))</f>
        <v/>
      </c>
      <c r="E228" s="30" t="str">
        <f>IF(($A228+3)&gt;$B$11, "", IFERROR((INDEX($F$12:$F$21,MATCH(($A228+3),$E$12:$E$21,1))+(($A228+3)-INDEX($E$12:$E$21,MATCH(($A228+3),$E$12:$E$21,1)))*(IFERROR(INDEX($F$12:$F$21,MATCH(($A228+3),$E$12:$E$21,1)+1),INDEX($F$12:$F$21,MATCH(($A228+3),$E$12:$E$21,1)))-INDEX($F$12:$F$21,MATCH(($A228+3),$E$12:$E$21,1)))/IF((IFERROR(INDEX($E$12:$E$21,MATCH(($A228+3),$E$12:$E$21,1)+1),INDEX($E$12:$E$21,MATCH(($A228+3),$E$12:$E$21,1))+1)-INDEX($E$12:$E$21,MATCH(($A228+3),$E$12:$E$21,1)))=0,1,IFERROR(INDEX($E$12:$E$21,MATCH(($A228+3),$E$12:$E$21,1)+1),INDEX($E$12:$E$21,MATCH(($A228+3),$E$12:$E$21,1))+1)-INDEX($E$12:$E$21,MATCH(($A228+3),$E$12:$E$21,1)))),$F$12))</f>
        <v/>
      </c>
      <c r="F228" s="30" t="str">
        <f>IF(($A228+4)&gt;$B$11, "", IFERROR((INDEX($F$12:$F$21,MATCH(($A228+4),$E$12:$E$21,1))+(($A228+4)-INDEX($E$12:$E$21,MATCH(($A228+4),$E$12:$E$21,1)))*(IFERROR(INDEX($F$12:$F$21,MATCH(($A228+4),$E$12:$E$21,1)+1),INDEX($F$12:$F$21,MATCH(($A228+4),$E$12:$E$21,1)))-INDEX($F$12:$F$21,MATCH(($A228+4),$E$12:$E$21,1)))/IF((IFERROR(INDEX($E$12:$E$21,MATCH(($A228+4),$E$12:$E$21,1)+1),INDEX($E$12:$E$21,MATCH(($A228+4),$E$12:$E$21,1))+1)-INDEX($E$12:$E$21,MATCH(($A228+4),$E$12:$E$21,1)))=0,1,IFERROR(INDEX($E$12:$E$21,MATCH(($A228+4),$E$12:$E$21,1)+1),INDEX($E$12:$E$21,MATCH(($A228+4),$E$12:$E$21,1))+1)-INDEX($E$12:$E$21,MATCH(($A228+4),$E$12:$E$21,1)))),$F$12))</f>
        <v/>
      </c>
      <c r="G228" s="30" t="str">
        <f>IF(($A228+5)&gt;$B$11, "", IFERROR((INDEX($F$12:$F$21,MATCH(($A228+5),$E$12:$E$21,1))+(($A228+5)-INDEX($E$12:$E$21,MATCH(($A228+5),$E$12:$E$21,1)))*(IFERROR(INDEX($F$12:$F$21,MATCH(($A228+5),$E$12:$E$21,1)+1),INDEX($F$12:$F$21,MATCH(($A228+5),$E$12:$E$21,1)))-INDEX($F$12:$F$21,MATCH(($A228+5),$E$12:$E$21,1)))/IF((IFERROR(INDEX($E$12:$E$21,MATCH(($A228+5),$E$12:$E$21,1)+1),INDEX($E$12:$E$21,MATCH(($A228+5),$E$12:$E$21,1))+1)-INDEX($E$12:$E$21,MATCH(($A228+5),$E$12:$E$21,1)))=0,1,IFERROR(INDEX($E$12:$E$21,MATCH(($A228+5),$E$12:$E$21,1)+1),INDEX($E$12:$E$21,MATCH(($A228+5),$E$12:$E$21,1))+1)-INDEX($E$12:$E$21,MATCH(($A228+5),$E$12:$E$21,1)))),$F$12))</f>
        <v/>
      </c>
      <c r="H228" s="30" t="str">
        <f>IF(($A228+6)&gt;$B$11, "", IFERROR((INDEX($F$12:$F$21,MATCH(($A228+6),$E$12:$E$21,1))+(($A228+6)-INDEX($E$12:$E$21,MATCH(($A228+6),$E$12:$E$21,1)))*(IFERROR(INDEX($F$12:$F$21,MATCH(($A228+6),$E$12:$E$21,1)+1),INDEX($F$12:$F$21,MATCH(($A228+6),$E$12:$E$21,1)))-INDEX($F$12:$F$21,MATCH(($A228+6),$E$12:$E$21,1)))/IF((IFERROR(INDEX($E$12:$E$21,MATCH(($A228+6),$E$12:$E$21,1)+1),INDEX($E$12:$E$21,MATCH(($A228+6),$E$12:$E$21,1))+1)-INDEX($E$12:$E$21,MATCH(($A228+6),$E$12:$E$21,1)))=0,1,IFERROR(INDEX($E$12:$E$21,MATCH(($A228+6),$E$12:$E$21,1)+1),INDEX($E$12:$E$21,MATCH(($A228+6),$E$12:$E$21,1))+1)-INDEX($E$12:$E$21,MATCH(($A228+6),$E$12:$E$21,1)))),$F$12))</f>
        <v/>
      </c>
      <c r="I228" s="30" t="str">
        <f>IF(($A228+7)&gt;$B$11, "", IFERROR((INDEX($F$12:$F$21,MATCH(($A228+7),$E$12:$E$21,1))+(($A228+7)-INDEX($E$12:$E$21,MATCH(($A228+7),$E$12:$E$21,1)))*(IFERROR(INDEX($F$12:$F$21,MATCH(($A228+7),$E$12:$E$21,1)+1),INDEX($F$12:$F$21,MATCH(($A228+7),$E$12:$E$21,1)))-INDEX($F$12:$F$21,MATCH(($A228+7),$E$12:$E$21,1)))/IF((IFERROR(INDEX($E$12:$E$21,MATCH(($A228+7),$E$12:$E$21,1)+1),INDEX($E$12:$E$21,MATCH(($A228+7),$E$12:$E$21,1))+1)-INDEX($E$12:$E$21,MATCH(($A228+7),$E$12:$E$21,1)))=0,1,IFERROR(INDEX($E$12:$E$21,MATCH(($A228+7),$E$12:$E$21,1)+1),INDEX($E$12:$E$21,MATCH(($A228+7),$E$12:$E$21,1))+1)-INDEX($E$12:$E$21,MATCH(($A228+7),$E$12:$E$21,1)))),$F$12))</f>
        <v/>
      </c>
      <c r="J228" s="30" t="str">
        <f>IF(($A228+8)&gt;$B$11, "", IFERROR((INDEX($F$12:$F$21,MATCH(($A228+8),$E$12:$E$21,1))+(($A228+8)-INDEX($E$12:$E$21,MATCH(($A228+8),$E$12:$E$21,1)))*(IFERROR(INDEX($F$12:$F$21,MATCH(($A228+8),$E$12:$E$21,1)+1),INDEX($F$12:$F$21,MATCH(($A228+8),$E$12:$E$21,1)))-INDEX($F$12:$F$21,MATCH(($A228+8),$E$12:$E$21,1)))/IF((IFERROR(INDEX($E$12:$E$21,MATCH(($A228+8),$E$12:$E$21,1)+1),INDEX($E$12:$E$21,MATCH(($A228+8),$E$12:$E$21,1))+1)-INDEX($E$12:$E$21,MATCH(($A228+8),$E$12:$E$21,1)))=0,1,IFERROR(INDEX($E$12:$E$21,MATCH(($A228+8),$E$12:$E$21,1)+1),INDEX($E$12:$E$21,MATCH(($A228+8),$E$12:$E$21,1))+1)-INDEX($E$12:$E$21,MATCH(($A228+8),$E$12:$E$21,1)))),$F$12))</f>
        <v/>
      </c>
      <c r="K228" s="30" t="str">
        <f>IF(($A228+9)&gt;$B$11, "", IFERROR((INDEX($F$12:$F$21,MATCH(($A228+9),$E$12:$E$21,1))+(($A228+9)-INDEX($E$12:$E$21,MATCH(($A228+9),$E$12:$E$21,1)))*(IFERROR(INDEX($F$12:$F$21,MATCH(($A228+9),$E$12:$E$21,1)+1),INDEX($F$12:$F$21,MATCH(($A228+9),$E$12:$E$21,1)))-INDEX($F$12:$F$21,MATCH(($A228+9),$E$12:$E$21,1)))/IF((IFERROR(INDEX($E$12:$E$21,MATCH(($A228+9),$E$12:$E$21,1)+1),INDEX($E$12:$E$21,MATCH(($A228+9),$E$12:$E$21,1))+1)-INDEX($E$12:$E$21,MATCH(($A228+9),$E$12:$E$21,1)))=0,1,IFERROR(INDEX($E$12:$E$21,MATCH(($A228+9),$E$12:$E$21,1)+1),INDEX($E$12:$E$21,MATCH(($A228+9),$E$12:$E$21,1))+1)-INDEX($E$12:$E$21,MATCH(($A228+9),$E$12:$E$21,1)))),$F$12))</f>
        <v/>
      </c>
    </row>
    <row r="229">
      <c r="A229" s="11">
        <v>310</v>
      </c>
      <c r="B229" s="30" t="str">
        <f>IF(($A229+0)&gt;$B$11, "", IFERROR((INDEX($F$12:$F$21,MATCH(($A229+0),$E$12:$E$21,1))+(($A229+0)-INDEX($E$12:$E$21,MATCH(($A229+0),$E$12:$E$21,1)))*(IFERROR(INDEX($F$12:$F$21,MATCH(($A229+0),$E$12:$E$21,1)+1),INDEX($F$12:$F$21,MATCH(($A229+0),$E$12:$E$21,1)))-INDEX($F$12:$F$21,MATCH(($A229+0),$E$12:$E$21,1)))/IF((IFERROR(INDEX($E$12:$E$21,MATCH(($A229+0),$E$12:$E$21,1)+1),INDEX($E$12:$E$21,MATCH(($A229+0),$E$12:$E$21,1))+1)-INDEX($E$12:$E$21,MATCH(($A229+0),$E$12:$E$21,1)))=0,1,IFERROR(INDEX($E$12:$E$21,MATCH(($A229+0),$E$12:$E$21,1)+1),INDEX($E$12:$E$21,MATCH(($A229+0),$E$12:$E$21,1))+1)-INDEX($E$12:$E$21,MATCH(($A229+0),$E$12:$E$21,1)))),$F$12))</f>
        <v/>
      </c>
      <c r="C229" s="30" t="str">
        <f>IF(($A229+1)&gt;$B$11, "", IFERROR((INDEX($F$12:$F$21,MATCH(($A229+1),$E$12:$E$21,1))+(($A229+1)-INDEX($E$12:$E$21,MATCH(($A229+1),$E$12:$E$21,1)))*(IFERROR(INDEX($F$12:$F$21,MATCH(($A229+1),$E$12:$E$21,1)+1),INDEX($F$12:$F$21,MATCH(($A229+1),$E$12:$E$21,1)))-INDEX($F$12:$F$21,MATCH(($A229+1),$E$12:$E$21,1)))/IF((IFERROR(INDEX($E$12:$E$21,MATCH(($A229+1),$E$12:$E$21,1)+1),INDEX($E$12:$E$21,MATCH(($A229+1),$E$12:$E$21,1))+1)-INDEX($E$12:$E$21,MATCH(($A229+1),$E$12:$E$21,1)))=0,1,IFERROR(INDEX($E$12:$E$21,MATCH(($A229+1),$E$12:$E$21,1)+1),INDEX($E$12:$E$21,MATCH(($A229+1),$E$12:$E$21,1))+1)-INDEX($E$12:$E$21,MATCH(($A229+1),$E$12:$E$21,1)))),$F$12))</f>
        <v/>
      </c>
      <c r="D229" s="30" t="str">
        <f>IF(($A229+2)&gt;$B$11, "", IFERROR((INDEX($F$12:$F$21,MATCH(($A229+2),$E$12:$E$21,1))+(($A229+2)-INDEX($E$12:$E$21,MATCH(($A229+2),$E$12:$E$21,1)))*(IFERROR(INDEX($F$12:$F$21,MATCH(($A229+2),$E$12:$E$21,1)+1),INDEX($F$12:$F$21,MATCH(($A229+2),$E$12:$E$21,1)))-INDEX($F$12:$F$21,MATCH(($A229+2),$E$12:$E$21,1)))/IF((IFERROR(INDEX($E$12:$E$21,MATCH(($A229+2),$E$12:$E$21,1)+1),INDEX($E$12:$E$21,MATCH(($A229+2),$E$12:$E$21,1))+1)-INDEX($E$12:$E$21,MATCH(($A229+2),$E$12:$E$21,1)))=0,1,IFERROR(INDEX($E$12:$E$21,MATCH(($A229+2),$E$12:$E$21,1)+1),INDEX($E$12:$E$21,MATCH(($A229+2),$E$12:$E$21,1))+1)-INDEX($E$12:$E$21,MATCH(($A229+2),$E$12:$E$21,1)))),$F$12))</f>
        <v/>
      </c>
      <c r="E229" s="30" t="str">
        <f>IF(($A229+3)&gt;$B$11, "", IFERROR((INDEX($F$12:$F$21,MATCH(($A229+3),$E$12:$E$21,1))+(($A229+3)-INDEX($E$12:$E$21,MATCH(($A229+3),$E$12:$E$21,1)))*(IFERROR(INDEX($F$12:$F$21,MATCH(($A229+3),$E$12:$E$21,1)+1),INDEX($F$12:$F$21,MATCH(($A229+3),$E$12:$E$21,1)))-INDEX($F$12:$F$21,MATCH(($A229+3),$E$12:$E$21,1)))/IF((IFERROR(INDEX($E$12:$E$21,MATCH(($A229+3),$E$12:$E$21,1)+1),INDEX($E$12:$E$21,MATCH(($A229+3),$E$12:$E$21,1))+1)-INDEX($E$12:$E$21,MATCH(($A229+3),$E$12:$E$21,1)))=0,1,IFERROR(INDEX($E$12:$E$21,MATCH(($A229+3),$E$12:$E$21,1)+1),INDEX($E$12:$E$21,MATCH(($A229+3),$E$12:$E$21,1))+1)-INDEX($E$12:$E$21,MATCH(($A229+3),$E$12:$E$21,1)))),$F$12))</f>
        <v/>
      </c>
      <c r="F229" s="30" t="str">
        <f>IF(($A229+4)&gt;$B$11, "", IFERROR((INDEX($F$12:$F$21,MATCH(($A229+4),$E$12:$E$21,1))+(($A229+4)-INDEX($E$12:$E$21,MATCH(($A229+4),$E$12:$E$21,1)))*(IFERROR(INDEX($F$12:$F$21,MATCH(($A229+4),$E$12:$E$21,1)+1),INDEX($F$12:$F$21,MATCH(($A229+4),$E$12:$E$21,1)))-INDEX($F$12:$F$21,MATCH(($A229+4),$E$12:$E$21,1)))/IF((IFERROR(INDEX($E$12:$E$21,MATCH(($A229+4),$E$12:$E$21,1)+1),INDEX($E$12:$E$21,MATCH(($A229+4),$E$12:$E$21,1))+1)-INDEX($E$12:$E$21,MATCH(($A229+4),$E$12:$E$21,1)))=0,1,IFERROR(INDEX($E$12:$E$21,MATCH(($A229+4),$E$12:$E$21,1)+1),INDEX($E$12:$E$21,MATCH(($A229+4),$E$12:$E$21,1))+1)-INDEX($E$12:$E$21,MATCH(($A229+4),$E$12:$E$21,1)))),$F$12))</f>
        <v/>
      </c>
      <c r="G229" s="30" t="str">
        <f>IF(($A229+5)&gt;$B$11, "", IFERROR((INDEX($F$12:$F$21,MATCH(($A229+5),$E$12:$E$21,1))+(($A229+5)-INDEX($E$12:$E$21,MATCH(($A229+5),$E$12:$E$21,1)))*(IFERROR(INDEX($F$12:$F$21,MATCH(($A229+5),$E$12:$E$21,1)+1),INDEX($F$12:$F$21,MATCH(($A229+5),$E$12:$E$21,1)))-INDEX($F$12:$F$21,MATCH(($A229+5),$E$12:$E$21,1)))/IF((IFERROR(INDEX($E$12:$E$21,MATCH(($A229+5),$E$12:$E$21,1)+1),INDEX($E$12:$E$21,MATCH(($A229+5),$E$12:$E$21,1))+1)-INDEX($E$12:$E$21,MATCH(($A229+5),$E$12:$E$21,1)))=0,1,IFERROR(INDEX($E$12:$E$21,MATCH(($A229+5),$E$12:$E$21,1)+1),INDEX($E$12:$E$21,MATCH(($A229+5),$E$12:$E$21,1))+1)-INDEX($E$12:$E$21,MATCH(($A229+5),$E$12:$E$21,1)))),$F$12))</f>
        <v/>
      </c>
      <c r="H229" s="30" t="str">
        <f>IF(($A229+6)&gt;$B$11, "", IFERROR((INDEX($F$12:$F$21,MATCH(($A229+6),$E$12:$E$21,1))+(($A229+6)-INDEX($E$12:$E$21,MATCH(($A229+6),$E$12:$E$21,1)))*(IFERROR(INDEX($F$12:$F$21,MATCH(($A229+6),$E$12:$E$21,1)+1),INDEX($F$12:$F$21,MATCH(($A229+6),$E$12:$E$21,1)))-INDEX($F$12:$F$21,MATCH(($A229+6),$E$12:$E$21,1)))/IF((IFERROR(INDEX($E$12:$E$21,MATCH(($A229+6),$E$12:$E$21,1)+1),INDEX($E$12:$E$21,MATCH(($A229+6),$E$12:$E$21,1))+1)-INDEX($E$12:$E$21,MATCH(($A229+6),$E$12:$E$21,1)))=0,1,IFERROR(INDEX($E$12:$E$21,MATCH(($A229+6),$E$12:$E$21,1)+1),INDEX($E$12:$E$21,MATCH(($A229+6),$E$12:$E$21,1))+1)-INDEX($E$12:$E$21,MATCH(($A229+6),$E$12:$E$21,1)))),$F$12))</f>
        <v/>
      </c>
      <c r="I229" s="30" t="str">
        <f>IF(($A229+7)&gt;$B$11, "", IFERROR((INDEX($F$12:$F$21,MATCH(($A229+7),$E$12:$E$21,1))+(($A229+7)-INDEX($E$12:$E$21,MATCH(($A229+7),$E$12:$E$21,1)))*(IFERROR(INDEX($F$12:$F$21,MATCH(($A229+7),$E$12:$E$21,1)+1),INDEX($F$12:$F$21,MATCH(($A229+7),$E$12:$E$21,1)))-INDEX($F$12:$F$21,MATCH(($A229+7),$E$12:$E$21,1)))/IF((IFERROR(INDEX($E$12:$E$21,MATCH(($A229+7),$E$12:$E$21,1)+1),INDEX($E$12:$E$21,MATCH(($A229+7),$E$12:$E$21,1))+1)-INDEX($E$12:$E$21,MATCH(($A229+7),$E$12:$E$21,1)))=0,1,IFERROR(INDEX($E$12:$E$21,MATCH(($A229+7),$E$12:$E$21,1)+1),INDEX($E$12:$E$21,MATCH(($A229+7),$E$12:$E$21,1))+1)-INDEX($E$12:$E$21,MATCH(($A229+7),$E$12:$E$21,1)))),$F$12))</f>
        <v/>
      </c>
      <c r="J229" s="30" t="str">
        <f>IF(($A229+8)&gt;$B$11, "", IFERROR((INDEX($F$12:$F$21,MATCH(($A229+8),$E$12:$E$21,1))+(($A229+8)-INDEX($E$12:$E$21,MATCH(($A229+8),$E$12:$E$21,1)))*(IFERROR(INDEX($F$12:$F$21,MATCH(($A229+8),$E$12:$E$21,1)+1),INDEX($F$12:$F$21,MATCH(($A229+8),$E$12:$E$21,1)))-INDEX($F$12:$F$21,MATCH(($A229+8),$E$12:$E$21,1)))/IF((IFERROR(INDEX($E$12:$E$21,MATCH(($A229+8),$E$12:$E$21,1)+1),INDEX($E$12:$E$21,MATCH(($A229+8),$E$12:$E$21,1))+1)-INDEX($E$12:$E$21,MATCH(($A229+8),$E$12:$E$21,1)))=0,1,IFERROR(INDEX($E$12:$E$21,MATCH(($A229+8),$E$12:$E$21,1)+1),INDEX($E$12:$E$21,MATCH(($A229+8),$E$12:$E$21,1))+1)-INDEX($E$12:$E$21,MATCH(($A229+8),$E$12:$E$21,1)))),$F$12))</f>
        <v/>
      </c>
      <c r="K229" s="30" t="str">
        <f>IF(($A229+9)&gt;$B$11, "", IFERROR((INDEX($F$12:$F$21,MATCH(($A229+9),$E$12:$E$21,1))+(($A229+9)-INDEX($E$12:$E$21,MATCH(($A229+9),$E$12:$E$21,1)))*(IFERROR(INDEX($F$12:$F$21,MATCH(($A229+9),$E$12:$E$21,1)+1),INDEX($F$12:$F$21,MATCH(($A229+9),$E$12:$E$21,1)))-INDEX($F$12:$F$21,MATCH(($A229+9),$E$12:$E$21,1)))/IF((IFERROR(INDEX($E$12:$E$21,MATCH(($A229+9),$E$12:$E$21,1)+1),INDEX($E$12:$E$21,MATCH(($A229+9),$E$12:$E$21,1))+1)-INDEX($E$12:$E$21,MATCH(($A229+9),$E$12:$E$21,1)))=0,1,IFERROR(INDEX($E$12:$E$21,MATCH(($A229+9),$E$12:$E$21,1)+1),INDEX($E$12:$E$21,MATCH(($A229+9),$E$12:$E$21,1))+1)-INDEX($E$12:$E$21,MATCH(($A229+9),$E$12:$E$21,1)))),$F$12))</f>
        <v/>
      </c>
    </row>
    <row r="230">
      <c r="A230" s="11">
        <v>320</v>
      </c>
      <c r="B230" s="30" t="str">
        <f>IF(($A230+0)&gt;$B$11, "", IFERROR((INDEX($F$12:$F$21,MATCH(($A230+0),$E$12:$E$21,1))+(($A230+0)-INDEX($E$12:$E$21,MATCH(($A230+0),$E$12:$E$21,1)))*(IFERROR(INDEX($F$12:$F$21,MATCH(($A230+0),$E$12:$E$21,1)+1),INDEX($F$12:$F$21,MATCH(($A230+0),$E$12:$E$21,1)))-INDEX($F$12:$F$21,MATCH(($A230+0),$E$12:$E$21,1)))/IF((IFERROR(INDEX($E$12:$E$21,MATCH(($A230+0),$E$12:$E$21,1)+1),INDEX($E$12:$E$21,MATCH(($A230+0),$E$12:$E$21,1))+1)-INDEX($E$12:$E$21,MATCH(($A230+0),$E$12:$E$21,1)))=0,1,IFERROR(INDEX($E$12:$E$21,MATCH(($A230+0),$E$12:$E$21,1)+1),INDEX($E$12:$E$21,MATCH(($A230+0),$E$12:$E$21,1))+1)-INDEX($E$12:$E$21,MATCH(($A230+0),$E$12:$E$21,1)))),$F$12))</f>
        <v/>
      </c>
      <c r="C230" s="30" t="str">
        <f>IF(($A230+1)&gt;$B$11, "", IFERROR((INDEX($F$12:$F$21,MATCH(($A230+1),$E$12:$E$21,1))+(($A230+1)-INDEX($E$12:$E$21,MATCH(($A230+1),$E$12:$E$21,1)))*(IFERROR(INDEX($F$12:$F$21,MATCH(($A230+1),$E$12:$E$21,1)+1),INDEX($F$12:$F$21,MATCH(($A230+1),$E$12:$E$21,1)))-INDEX($F$12:$F$21,MATCH(($A230+1),$E$12:$E$21,1)))/IF((IFERROR(INDEX($E$12:$E$21,MATCH(($A230+1),$E$12:$E$21,1)+1),INDEX($E$12:$E$21,MATCH(($A230+1),$E$12:$E$21,1))+1)-INDEX($E$12:$E$21,MATCH(($A230+1),$E$12:$E$21,1)))=0,1,IFERROR(INDEX($E$12:$E$21,MATCH(($A230+1),$E$12:$E$21,1)+1),INDEX($E$12:$E$21,MATCH(($A230+1),$E$12:$E$21,1))+1)-INDEX($E$12:$E$21,MATCH(($A230+1),$E$12:$E$21,1)))),$F$12))</f>
        <v/>
      </c>
      <c r="D230" s="30" t="str">
        <f>IF(($A230+2)&gt;$B$11, "", IFERROR((INDEX($F$12:$F$21,MATCH(($A230+2),$E$12:$E$21,1))+(($A230+2)-INDEX($E$12:$E$21,MATCH(($A230+2),$E$12:$E$21,1)))*(IFERROR(INDEX($F$12:$F$21,MATCH(($A230+2),$E$12:$E$21,1)+1),INDEX($F$12:$F$21,MATCH(($A230+2),$E$12:$E$21,1)))-INDEX($F$12:$F$21,MATCH(($A230+2),$E$12:$E$21,1)))/IF((IFERROR(INDEX($E$12:$E$21,MATCH(($A230+2),$E$12:$E$21,1)+1),INDEX($E$12:$E$21,MATCH(($A230+2),$E$12:$E$21,1))+1)-INDEX($E$12:$E$21,MATCH(($A230+2),$E$12:$E$21,1)))=0,1,IFERROR(INDEX($E$12:$E$21,MATCH(($A230+2),$E$12:$E$21,1)+1),INDEX($E$12:$E$21,MATCH(($A230+2),$E$12:$E$21,1))+1)-INDEX($E$12:$E$21,MATCH(($A230+2),$E$12:$E$21,1)))),$F$12))</f>
        <v/>
      </c>
      <c r="E230" s="30" t="str">
        <f>IF(($A230+3)&gt;$B$11, "", IFERROR((INDEX($F$12:$F$21,MATCH(($A230+3),$E$12:$E$21,1))+(($A230+3)-INDEX($E$12:$E$21,MATCH(($A230+3),$E$12:$E$21,1)))*(IFERROR(INDEX($F$12:$F$21,MATCH(($A230+3),$E$12:$E$21,1)+1),INDEX($F$12:$F$21,MATCH(($A230+3),$E$12:$E$21,1)))-INDEX($F$12:$F$21,MATCH(($A230+3),$E$12:$E$21,1)))/IF((IFERROR(INDEX($E$12:$E$21,MATCH(($A230+3),$E$12:$E$21,1)+1),INDEX($E$12:$E$21,MATCH(($A230+3),$E$12:$E$21,1))+1)-INDEX($E$12:$E$21,MATCH(($A230+3),$E$12:$E$21,1)))=0,1,IFERROR(INDEX($E$12:$E$21,MATCH(($A230+3),$E$12:$E$21,1)+1),INDEX($E$12:$E$21,MATCH(($A230+3),$E$12:$E$21,1))+1)-INDEX($E$12:$E$21,MATCH(($A230+3),$E$12:$E$21,1)))),$F$12))</f>
        <v/>
      </c>
      <c r="F230" s="30" t="str">
        <f>IF(($A230+4)&gt;$B$11, "", IFERROR((INDEX($F$12:$F$21,MATCH(($A230+4),$E$12:$E$21,1))+(($A230+4)-INDEX($E$12:$E$21,MATCH(($A230+4),$E$12:$E$21,1)))*(IFERROR(INDEX($F$12:$F$21,MATCH(($A230+4),$E$12:$E$21,1)+1),INDEX($F$12:$F$21,MATCH(($A230+4),$E$12:$E$21,1)))-INDEX($F$12:$F$21,MATCH(($A230+4),$E$12:$E$21,1)))/IF((IFERROR(INDEX($E$12:$E$21,MATCH(($A230+4),$E$12:$E$21,1)+1),INDEX($E$12:$E$21,MATCH(($A230+4),$E$12:$E$21,1))+1)-INDEX($E$12:$E$21,MATCH(($A230+4),$E$12:$E$21,1)))=0,1,IFERROR(INDEX($E$12:$E$21,MATCH(($A230+4),$E$12:$E$21,1)+1),INDEX($E$12:$E$21,MATCH(($A230+4),$E$12:$E$21,1))+1)-INDEX($E$12:$E$21,MATCH(($A230+4),$E$12:$E$21,1)))),$F$12))</f>
        <v/>
      </c>
      <c r="G230" s="30" t="str">
        <f>IF(($A230+5)&gt;$B$11, "", IFERROR((INDEX($F$12:$F$21,MATCH(($A230+5),$E$12:$E$21,1))+(($A230+5)-INDEX($E$12:$E$21,MATCH(($A230+5),$E$12:$E$21,1)))*(IFERROR(INDEX($F$12:$F$21,MATCH(($A230+5),$E$12:$E$21,1)+1),INDEX($F$12:$F$21,MATCH(($A230+5),$E$12:$E$21,1)))-INDEX($F$12:$F$21,MATCH(($A230+5),$E$12:$E$21,1)))/IF((IFERROR(INDEX($E$12:$E$21,MATCH(($A230+5),$E$12:$E$21,1)+1),INDEX($E$12:$E$21,MATCH(($A230+5),$E$12:$E$21,1))+1)-INDEX($E$12:$E$21,MATCH(($A230+5),$E$12:$E$21,1)))=0,1,IFERROR(INDEX($E$12:$E$21,MATCH(($A230+5),$E$12:$E$21,1)+1),INDEX($E$12:$E$21,MATCH(($A230+5),$E$12:$E$21,1))+1)-INDEX($E$12:$E$21,MATCH(($A230+5),$E$12:$E$21,1)))),$F$12))</f>
        <v/>
      </c>
      <c r="H230" s="30" t="str">
        <f>IF(($A230+6)&gt;$B$11, "", IFERROR((INDEX($F$12:$F$21,MATCH(($A230+6),$E$12:$E$21,1))+(($A230+6)-INDEX($E$12:$E$21,MATCH(($A230+6),$E$12:$E$21,1)))*(IFERROR(INDEX($F$12:$F$21,MATCH(($A230+6),$E$12:$E$21,1)+1),INDEX($F$12:$F$21,MATCH(($A230+6),$E$12:$E$21,1)))-INDEX($F$12:$F$21,MATCH(($A230+6),$E$12:$E$21,1)))/IF((IFERROR(INDEX($E$12:$E$21,MATCH(($A230+6),$E$12:$E$21,1)+1),INDEX($E$12:$E$21,MATCH(($A230+6),$E$12:$E$21,1))+1)-INDEX($E$12:$E$21,MATCH(($A230+6),$E$12:$E$21,1)))=0,1,IFERROR(INDEX($E$12:$E$21,MATCH(($A230+6),$E$12:$E$21,1)+1),INDEX($E$12:$E$21,MATCH(($A230+6),$E$12:$E$21,1))+1)-INDEX($E$12:$E$21,MATCH(($A230+6),$E$12:$E$21,1)))),$F$12))</f>
        <v/>
      </c>
      <c r="I230" s="30" t="str">
        <f>IF(($A230+7)&gt;$B$11, "", IFERROR((INDEX($F$12:$F$21,MATCH(($A230+7),$E$12:$E$21,1))+(($A230+7)-INDEX($E$12:$E$21,MATCH(($A230+7),$E$12:$E$21,1)))*(IFERROR(INDEX($F$12:$F$21,MATCH(($A230+7),$E$12:$E$21,1)+1),INDEX($F$12:$F$21,MATCH(($A230+7),$E$12:$E$21,1)))-INDEX($F$12:$F$21,MATCH(($A230+7),$E$12:$E$21,1)))/IF((IFERROR(INDEX($E$12:$E$21,MATCH(($A230+7),$E$12:$E$21,1)+1),INDEX($E$12:$E$21,MATCH(($A230+7),$E$12:$E$21,1))+1)-INDEX($E$12:$E$21,MATCH(($A230+7),$E$12:$E$21,1)))=0,1,IFERROR(INDEX($E$12:$E$21,MATCH(($A230+7),$E$12:$E$21,1)+1),INDEX($E$12:$E$21,MATCH(($A230+7),$E$12:$E$21,1))+1)-INDEX($E$12:$E$21,MATCH(($A230+7),$E$12:$E$21,1)))),$F$12))</f>
        <v/>
      </c>
      <c r="J230" s="30" t="str">
        <f>IF(($A230+8)&gt;$B$11, "", IFERROR((INDEX($F$12:$F$21,MATCH(($A230+8),$E$12:$E$21,1))+(($A230+8)-INDEX($E$12:$E$21,MATCH(($A230+8),$E$12:$E$21,1)))*(IFERROR(INDEX($F$12:$F$21,MATCH(($A230+8),$E$12:$E$21,1)+1),INDEX($F$12:$F$21,MATCH(($A230+8),$E$12:$E$21,1)))-INDEX($F$12:$F$21,MATCH(($A230+8),$E$12:$E$21,1)))/IF((IFERROR(INDEX($E$12:$E$21,MATCH(($A230+8),$E$12:$E$21,1)+1),INDEX($E$12:$E$21,MATCH(($A230+8),$E$12:$E$21,1))+1)-INDEX($E$12:$E$21,MATCH(($A230+8),$E$12:$E$21,1)))=0,1,IFERROR(INDEX($E$12:$E$21,MATCH(($A230+8),$E$12:$E$21,1)+1),INDEX($E$12:$E$21,MATCH(($A230+8),$E$12:$E$21,1))+1)-INDEX($E$12:$E$21,MATCH(($A230+8),$E$12:$E$21,1)))),$F$12))</f>
        <v/>
      </c>
      <c r="K230" s="30" t="str">
        <f>IF(($A230+9)&gt;$B$11, "", IFERROR((INDEX($F$12:$F$21,MATCH(($A230+9),$E$12:$E$21,1))+(($A230+9)-INDEX($E$12:$E$21,MATCH(($A230+9),$E$12:$E$21,1)))*(IFERROR(INDEX($F$12:$F$21,MATCH(($A230+9),$E$12:$E$21,1)+1),INDEX($F$12:$F$21,MATCH(($A230+9),$E$12:$E$21,1)))-INDEX($F$12:$F$21,MATCH(($A230+9),$E$12:$E$21,1)))/IF((IFERROR(INDEX($E$12:$E$21,MATCH(($A230+9),$E$12:$E$21,1)+1),INDEX($E$12:$E$21,MATCH(($A230+9),$E$12:$E$21,1))+1)-INDEX($E$12:$E$21,MATCH(($A230+9),$E$12:$E$21,1)))=0,1,IFERROR(INDEX($E$12:$E$21,MATCH(($A230+9),$E$12:$E$21,1)+1),INDEX($E$12:$E$21,MATCH(($A230+9),$E$12:$E$21,1))+1)-INDEX($E$12:$E$21,MATCH(($A230+9),$E$12:$E$21,1)))),$F$12))</f>
        <v/>
      </c>
    </row>
    <row r="231">
      <c r="A231" s="11">
        <v>330</v>
      </c>
      <c r="B231" s="30" t="str">
        <f>IF(($A231+0)&gt;$B$11, "", IFERROR((INDEX($F$12:$F$21,MATCH(($A231+0),$E$12:$E$21,1))+(($A231+0)-INDEX($E$12:$E$21,MATCH(($A231+0),$E$12:$E$21,1)))*(IFERROR(INDEX($F$12:$F$21,MATCH(($A231+0),$E$12:$E$21,1)+1),INDEX($F$12:$F$21,MATCH(($A231+0),$E$12:$E$21,1)))-INDEX($F$12:$F$21,MATCH(($A231+0),$E$12:$E$21,1)))/IF((IFERROR(INDEX($E$12:$E$21,MATCH(($A231+0),$E$12:$E$21,1)+1),INDEX($E$12:$E$21,MATCH(($A231+0),$E$12:$E$21,1))+1)-INDEX($E$12:$E$21,MATCH(($A231+0),$E$12:$E$21,1)))=0,1,IFERROR(INDEX($E$12:$E$21,MATCH(($A231+0),$E$12:$E$21,1)+1),INDEX($E$12:$E$21,MATCH(($A231+0),$E$12:$E$21,1))+1)-INDEX($E$12:$E$21,MATCH(($A231+0),$E$12:$E$21,1)))),$F$12))</f>
        <v/>
      </c>
      <c r="C231" s="30" t="str">
        <f>IF(($A231+1)&gt;$B$11, "", IFERROR((INDEX($F$12:$F$21,MATCH(($A231+1),$E$12:$E$21,1))+(($A231+1)-INDEX($E$12:$E$21,MATCH(($A231+1),$E$12:$E$21,1)))*(IFERROR(INDEX($F$12:$F$21,MATCH(($A231+1),$E$12:$E$21,1)+1),INDEX($F$12:$F$21,MATCH(($A231+1),$E$12:$E$21,1)))-INDEX($F$12:$F$21,MATCH(($A231+1),$E$12:$E$21,1)))/IF((IFERROR(INDEX($E$12:$E$21,MATCH(($A231+1),$E$12:$E$21,1)+1),INDEX($E$12:$E$21,MATCH(($A231+1),$E$12:$E$21,1))+1)-INDEX($E$12:$E$21,MATCH(($A231+1),$E$12:$E$21,1)))=0,1,IFERROR(INDEX($E$12:$E$21,MATCH(($A231+1),$E$12:$E$21,1)+1),INDEX($E$12:$E$21,MATCH(($A231+1),$E$12:$E$21,1))+1)-INDEX($E$12:$E$21,MATCH(($A231+1),$E$12:$E$21,1)))),$F$12))</f>
        <v/>
      </c>
      <c r="D231" s="30" t="str">
        <f>IF(($A231+2)&gt;$B$11, "", IFERROR((INDEX($F$12:$F$21,MATCH(($A231+2),$E$12:$E$21,1))+(($A231+2)-INDEX($E$12:$E$21,MATCH(($A231+2),$E$12:$E$21,1)))*(IFERROR(INDEX($F$12:$F$21,MATCH(($A231+2),$E$12:$E$21,1)+1),INDEX($F$12:$F$21,MATCH(($A231+2),$E$12:$E$21,1)))-INDEX($F$12:$F$21,MATCH(($A231+2),$E$12:$E$21,1)))/IF((IFERROR(INDEX($E$12:$E$21,MATCH(($A231+2),$E$12:$E$21,1)+1),INDEX($E$12:$E$21,MATCH(($A231+2),$E$12:$E$21,1))+1)-INDEX($E$12:$E$21,MATCH(($A231+2),$E$12:$E$21,1)))=0,1,IFERROR(INDEX($E$12:$E$21,MATCH(($A231+2),$E$12:$E$21,1)+1),INDEX($E$12:$E$21,MATCH(($A231+2),$E$12:$E$21,1))+1)-INDEX($E$12:$E$21,MATCH(($A231+2),$E$12:$E$21,1)))),$F$12))</f>
        <v/>
      </c>
      <c r="E231" s="30" t="str">
        <f>IF(($A231+3)&gt;$B$11, "", IFERROR((INDEX($F$12:$F$21,MATCH(($A231+3),$E$12:$E$21,1))+(($A231+3)-INDEX($E$12:$E$21,MATCH(($A231+3),$E$12:$E$21,1)))*(IFERROR(INDEX($F$12:$F$21,MATCH(($A231+3),$E$12:$E$21,1)+1),INDEX($F$12:$F$21,MATCH(($A231+3),$E$12:$E$21,1)))-INDEX($F$12:$F$21,MATCH(($A231+3),$E$12:$E$21,1)))/IF((IFERROR(INDEX($E$12:$E$21,MATCH(($A231+3),$E$12:$E$21,1)+1),INDEX($E$12:$E$21,MATCH(($A231+3),$E$12:$E$21,1))+1)-INDEX($E$12:$E$21,MATCH(($A231+3),$E$12:$E$21,1)))=0,1,IFERROR(INDEX($E$12:$E$21,MATCH(($A231+3),$E$12:$E$21,1)+1),INDEX($E$12:$E$21,MATCH(($A231+3),$E$12:$E$21,1))+1)-INDEX($E$12:$E$21,MATCH(($A231+3),$E$12:$E$21,1)))),$F$12))</f>
        <v/>
      </c>
      <c r="F231" s="30" t="str">
        <f>IF(($A231+4)&gt;$B$11, "", IFERROR((INDEX($F$12:$F$21,MATCH(($A231+4),$E$12:$E$21,1))+(($A231+4)-INDEX($E$12:$E$21,MATCH(($A231+4),$E$12:$E$21,1)))*(IFERROR(INDEX($F$12:$F$21,MATCH(($A231+4),$E$12:$E$21,1)+1),INDEX($F$12:$F$21,MATCH(($A231+4),$E$12:$E$21,1)))-INDEX($F$12:$F$21,MATCH(($A231+4),$E$12:$E$21,1)))/IF((IFERROR(INDEX($E$12:$E$21,MATCH(($A231+4),$E$12:$E$21,1)+1),INDEX($E$12:$E$21,MATCH(($A231+4),$E$12:$E$21,1))+1)-INDEX($E$12:$E$21,MATCH(($A231+4),$E$12:$E$21,1)))=0,1,IFERROR(INDEX($E$12:$E$21,MATCH(($A231+4),$E$12:$E$21,1)+1),INDEX($E$12:$E$21,MATCH(($A231+4),$E$12:$E$21,1))+1)-INDEX($E$12:$E$21,MATCH(($A231+4),$E$12:$E$21,1)))),$F$12))</f>
        <v/>
      </c>
      <c r="G231" s="30" t="str">
        <f>IF(($A231+5)&gt;$B$11, "", IFERROR((INDEX($F$12:$F$21,MATCH(($A231+5),$E$12:$E$21,1))+(($A231+5)-INDEX($E$12:$E$21,MATCH(($A231+5),$E$12:$E$21,1)))*(IFERROR(INDEX($F$12:$F$21,MATCH(($A231+5),$E$12:$E$21,1)+1),INDEX($F$12:$F$21,MATCH(($A231+5),$E$12:$E$21,1)))-INDEX($F$12:$F$21,MATCH(($A231+5),$E$12:$E$21,1)))/IF((IFERROR(INDEX($E$12:$E$21,MATCH(($A231+5),$E$12:$E$21,1)+1),INDEX($E$12:$E$21,MATCH(($A231+5),$E$12:$E$21,1))+1)-INDEX($E$12:$E$21,MATCH(($A231+5),$E$12:$E$21,1)))=0,1,IFERROR(INDEX($E$12:$E$21,MATCH(($A231+5),$E$12:$E$21,1)+1),INDEX($E$12:$E$21,MATCH(($A231+5),$E$12:$E$21,1))+1)-INDEX($E$12:$E$21,MATCH(($A231+5),$E$12:$E$21,1)))),$F$12))</f>
        <v/>
      </c>
      <c r="H231" s="30" t="str">
        <f>IF(($A231+6)&gt;$B$11, "", IFERROR((INDEX($F$12:$F$21,MATCH(($A231+6),$E$12:$E$21,1))+(($A231+6)-INDEX($E$12:$E$21,MATCH(($A231+6),$E$12:$E$21,1)))*(IFERROR(INDEX($F$12:$F$21,MATCH(($A231+6),$E$12:$E$21,1)+1),INDEX($F$12:$F$21,MATCH(($A231+6),$E$12:$E$21,1)))-INDEX($F$12:$F$21,MATCH(($A231+6),$E$12:$E$21,1)))/IF((IFERROR(INDEX($E$12:$E$21,MATCH(($A231+6),$E$12:$E$21,1)+1),INDEX($E$12:$E$21,MATCH(($A231+6),$E$12:$E$21,1))+1)-INDEX($E$12:$E$21,MATCH(($A231+6),$E$12:$E$21,1)))=0,1,IFERROR(INDEX($E$12:$E$21,MATCH(($A231+6),$E$12:$E$21,1)+1),INDEX($E$12:$E$21,MATCH(($A231+6),$E$12:$E$21,1))+1)-INDEX($E$12:$E$21,MATCH(($A231+6),$E$12:$E$21,1)))),$F$12))</f>
        <v/>
      </c>
      <c r="I231" s="30" t="str">
        <f>IF(($A231+7)&gt;$B$11, "", IFERROR((INDEX($F$12:$F$21,MATCH(($A231+7),$E$12:$E$21,1))+(($A231+7)-INDEX($E$12:$E$21,MATCH(($A231+7),$E$12:$E$21,1)))*(IFERROR(INDEX($F$12:$F$21,MATCH(($A231+7),$E$12:$E$21,1)+1),INDEX($F$12:$F$21,MATCH(($A231+7),$E$12:$E$21,1)))-INDEX($F$12:$F$21,MATCH(($A231+7),$E$12:$E$21,1)))/IF((IFERROR(INDEX($E$12:$E$21,MATCH(($A231+7),$E$12:$E$21,1)+1),INDEX($E$12:$E$21,MATCH(($A231+7),$E$12:$E$21,1))+1)-INDEX($E$12:$E$21,MATCH(($A231+7),$E$12:$E$21,1)))=0,1,IFERROR(INDEX($E$12:$E$21,MATCH(($A231+7),$E$12:$E$21,1)+1),INDEX($E$12:$E$21,MATCH(($A231+7),$E$12:$E$21,1))+1)-INDEX($E$12:$E$21,MATCH(($A231+7),$E$12:$E$21,1)))),$F$12))</f>
        <v/>
      </c>
      <c r="J231" s="30" t="str">
        <f>IF(($A231+8)&gt;$B$11, "", IFERROR((INDEX($F$12:$F$21,MATCH(($A231+8),$E$12:$E$21,1))+(($A231+8)-INDEX($E$12:$E$21,MATCH(($A231+8),$E$12:$E$21,1)))*(IFERROR(INDEX($F$12:$F$21,MATCH(($A231+8),$E$12:$E$21,1)+1),INDEX($F$12:$F$21,MATCH(($A231+8),$E$12:$E$21,1)))-INDEX($F$12:$F$21,MATCH(($A231+8),$E$12:$E$21,1)))/IF((IFERROR(INDEX($E$12:$E$21,MATCH(($A231+8),$E$12:$E$21,1)+1),INDEX($E$12:$E$21,MATCH(($A231+8),$E$12:$E$21,1))+1)-INDEX($E$12:$E$21,MATCH(($A231+8),$E$12:$E$21,1)))=0,1,IFERROR(INDEX($E$12:$E$21,MATCH(($A231+8),$E$12:$E$21,1)+1),INDEX($E$12:$E$21,MATCH(($A231+8),$E$12:$E$21,1))+1)-INDEX($E$12:$E$21,MATCH(($A231+8),$E$12:$E$21,1)))),$F$12))</f>
        <v/>
      </c>
      <c r="K231" s="30" t="str">
        <f>IF(($A231+9)&gt;$B$11, "", IFERROR((INDEX($F$12:$F$21,MATCH(($A231+9),$E$12:$E$21,1))+(($A231+9)-INDEX($E$12:$E$21,MATCH(($A231+9),$E$12:$E$21,1)))*(IFERROR(INDEX($F$12:$F$21,MATCH(($A231+9),$E$12:$E$21,1)+1),INDEX($F$12:$F$21,MATCH(($A231+9),$E$12:$E$21,1)))-INDEX($F$12:$F$21,MATCH(($A231+9),$E$12:$E$21,1)))/IF((IFERROR(INDEX($E$12:$E$21,MATCH(($A231+9),$E$12:$E$21,1)+1),INDEX($E$12:$E$21,MATCH(($A231+9),$E$12:$E$21,1))+1)-INDEX($E$12:$E$21,MATCH(($A231+9),$E$12:$E$21,1)))=0,1,IFERROR(INDEX($E$12:$E$21,MATCH(($A231+9),$E$12:$E$21,1)+1),INDEX($E$12:$E$21,MATCH(($A231+9),$E$12:$E$21,1))+1)-INDEX($E$12:$E$21,MATCH(($A231+9),$E$12:$E$21,1)))),$F$12))</f>
        <v/>
      </c>
    </row>
    <row r="232">
      <c r="A232" s="11">
        <v>340</v>
      </c>
      <c r="B232" s="30" t="str">
        <f>IF(($A232+0)&gt;$B$11, "", IFERROR((INDEX($F$12:$F$21,MATCH(($A232+0),$E$12:$E$21,1))+(($A232+0)-INDEX($E$12:$E$21,MATCH(($A232+0),$E$12:$E$21,1)))*(IFERROR(INDEX($F$12:$F$21,MATCH(($A232+0),$E$12:$E$21,1)+1),INDEX($F$12:$F$21,MATCH(($A232+0),$E$12:$E$21,1)))-INDEX($F$12:$F$21,MATCH(($A232+0),$E$12:$E$21,1)))/IF((IFERROR(INDEX($E$12:$E$21,MATCH(($A232+0),$E$12:$E$21,1)+1),INDEX($E$12:$E$21,MATCH(($A232+0),$E$12:$E$21,1))+1)-INDEX($E$12:$E$21,MATCH(($A232+0),$E$12:$E$21,1)))=0,1,IFERROR(INDEX($E$12:$E$21,MATCH(($A232+0),$E$12:$E$21,1)+1),INDEX($E$12:$E$21,MATCH(($A232+0),$E$12:$E$21,1))+1)-INDEX($E$12:$E$21,MATCH(($A232+0),$E$12:$E$21,1)))),$F$12))</f>
        <v/>
      </c>
      <c r="C232" s="30" t="str">
        <f>IF(($A232+1)&gt;$B$11, "", IFERROR((INDEX($F$12:$F$21,MATCH(($A232+1),$E$12:$E$21,1))+(($A232+1)-INDEX($E$12:$E$21,MATCH(($A232+1),$E$12:$E$21,1)))*(IFERROR(INDEX($F$12:$F$21,MATCH(($A232+1),$E$12:$E$21,1)+1),INDEX($F$12:$F$21,MATCH(($A232+1),$E$12:$E$21,1)))-INDEX($F$12:$F$21,MATCH(($A232+1),$E$12:$E$21,1)))/IF((IFERROR(INDEX($E$12:$E$21,MATCH(($A232+1),$E$12:$E$21,1)+1),INDEX($E$12:$E$21,MATCH(($A232+1),$E$12:$E$21,1))+1)-INDEX($E$12:$E$21,MATCH(($A232+1),$E$12:$E$21,1)))=0,1,IFERROR(INDEX($E$12:$E$21,MATCH(($A232+1),$E$12:$E$21,1)+1),INDEX($E$12:$E$21,MATCH(($A232+1),$E$12:$E$21,1))+1)-INDEX($E$12:$E$21,MATCH(($A232+1),$E$12:$E$21,1)))),$F$12))</f>
        <v/>
      </c>
      <c r="D232" s="30" t="str">
        <f>IF(($A232+2)&gt;$B$11, "", IFERROR((INDEX($F$12:$F$21,MATCH(($A232+2),$E$12:$E$21,1))+(($A232+2)-INDEX($E$12:$E$21,MATCH(($A232+2),$E$12:$E$21,1)))*(IFERROR(INDEX($F$12:$F$21,MATCH(($A232+2),$E$12:$E$21,1)+1),INDEX($F$12:$F$21,MATCH(($A232+2),$E$12:$E$21,1)))-INDEX($F$12:$F$21,MATCH(($A232+2),$E$12:$E$21,1)))/IF((IFERROR(INDEX($E$12:$E$21,MATCH(($A232+2),$E$12:$E$21,1)+1),INDEX($E$12:$E$21,MATCH(($A232+2),$E$12:$E$21,1))+1)-INDEX($E$12:$E$21,MATCH(($A232+2),$E$12:$E$21,1)))=0,1,IFERROR(INDEX($E$12:$E$21,MATCH(($A232+2),$E$12:$E$21,1)+1),INDEX($E$12:$E$21,MATCH(($A232+2),$E$12:$E$21,1))+1)-INDEX($E$12:$E$21,MATCH(($A232+2),$E$12:$E$21,1)))),$F$12))</f>
        <v/>
      </c>
      <c r="E232" s="30" t="str">
        <f>IF(($A232+3)&gt;$B$11, "", IFERROR((INDEX($F$12:$F$21,MATCH(($A232+3),$E$12:$E$21,1))+(($A232+3)-INDEX($E$12:$E$21,MATCH(($A232+3),$E$12:$E$21,1)))*(IFERROR(INDEX($F$12:$F$21,MATCH(($A232+3),$E$12:$E$21,1)+1),INDEX($F$12:$F$21,MATCH(($A232+3),$E$12:$E$21,1)))-INDEX($F$12:$F$21,MATCH(($A232+3),$E$12:$E$21,1)))/IF((IFERROR(INDEX($E$12:$E$21,MATCH(($A232+3),$E$12:$E$21,1)+1),INDEX($E$12:$E$21,MATCH(($A232+3),$E$12:$E$21,1))+1)-INDEX($E$12:$E$21,MATCH(($A232+3),$E$12:$E$21,1)))=0,1,IFERROR(INDEX($E$12:$E$21,MATCH(($A232+3),$E$12:$E$21,1)+1),INDEX($E$12:$E$21,MATCH(($A232+3),$E$12:$E$21,1))+1)-INDEX($E$12:$E$21,MATCH(($A232+3),$E$12:$E$21,1)))),$F$12))</f>
        <v/>
      </c>
      <c r="F232" s="30" t="str">
        <f>IF(($A232+4)&gt;$B$11, "", IFERROR((INDEX($F$12:$F$21,MATCH(($A232+4),$E$12:$E$21,1))+(($A232+4)-INDEX($E$12:$E$21,MATCH(($A232+4),$E$12:$E$21,1)))*(IFERROR(INDEX($F$12:$F$21,MATCH(($A232+4),$E$12:$E$21,1)+1),INDEX($F$12:$F$21,MATCH(($A232+4),$E$12:$E$21,1)))-INDEX($F$12:$F$21,MATCH(($A232+4),$E$12:$E$21,1)))/IF((IFERROR(INDEX($E$12:$E$21,MATCH(($A232+4),$E$12:$E$21,1)+1),INDEX($E$12:$E$21,MATCH(($A232+4),$E$12:$E$21,1))+1)-INDEX($E$12:$E$21,MATCH(($A232+4),$E$12:$E$21,1)))=0,1,IFERROR(INDEX($E$12:$E$21,MATCH(($A232+4),$E$12:$E$21,1)+1),INDEX($E$12:$E$21,MATCH(($A232+4),$E$12:$E$21,1))+1)-INDEX($E$12:$E$21,MATCH(($A232+4),$E$12:$E$21,1)))),$F$12))</f>
        <v/>
      </c>
      <c r="G232" s="30" t="str">
        <f>IF(($A232+5)&gt;$B$11, "", IFERROR((INDEX($F$12:$F$21,MATCH(($A232+5),$E$12:$E$21,1))+(($A232+5)-INDEX($E$12:$E$21,MATCH(($A232+5),$E$12:$E$21,1)))*(IFERROR(INDEX($F$12:$F$21,MATCH(($A232+5),$E$12:$E$21,1)+1),INDEX($F$12:$F$21,MATCH(($A232+5),$E$12:$E$21,1)))-INDEX($F$12:$F$21,MATCH(($A232+5),$E$12:$E$21,1)))/IF((IFERROR(INDEX($E$12:$E$21,MATCH(($A232+5),$E$12:$E$21,1)+1),INDEX($E$12:$E$21,MATCH(($A232+5),$E$12:$E$21,1))+1)-INDEX($E$12:$E$21,MATCH(($A232+5),$E$12:$E$21,1)))=0,1,IFERROR(INDEX($E$12:$E$21,MATCH(($A232+5),$E$12:$E$21,1)+1),INDEX($E$12:$E$21,MATCH(($A232+5),$E$12:$E$21,1))+1)-INDEX($E$12:$E$21,MATCH(($A232+5),$E$12:$E$21,1)))),$F$12))</f>
        <v/>
      </c>
      <c r="H232" s="30" t="str">
        <f>IF(($A232+6)&gt;$B$11, "", IFERROR((INDEX($F$12:$F$21,MATCH(($A232+6),$E$12:$E$21,1))+(($A232+6)-INDEX($E$12:$E$21,MATCH(($A232+6),$E$12:$E$21,1)))*(IFERROR(INDEX($F$12:$F$21,MATCH(($A232+6),$E$12:$E$21,1)+1),INDEX($F$12:$F$21,MATCH(($A232+6),$E$12:$E$21,1)))-INDEX($F$12:$F$21,MATCH(($A232+6),$E$12:$E$21,1)))/IF((IFERROR(INDEX($E$12:$E$21,MATCH(($A232+6),$E$12:$E$21,1)+1),INDEX($E$12:$E$21,MATCH(($A232+6),$E$12:$E$21,1))+1)-INDEX($E$12:$E$21,MATCH(($A232+6),$E$12:$E$21,1)))=0,1,IFERROR(INDEX($E$12:$E$21,MATCH(($A232+6),$E$12:$E$21,1)+1),INDEX($E$12:$E$21,MATCH(($A232+6),$E$12:$E$21,1))+1)-INDEX($E$12:$E$21,MATCH(($A232+6),$E$12:$E$21,1)))),$F$12))</f>
        <v/>
      </c>
      <c r="I232" s="30" t="str">
        <f>IF(($A232+7)&gt;$B$11, "", IFERROR((INDEX($F$12:$F$21,MATCH(($A232+7),$E$12:$E$21,1))+(($A232+7)-INDEX($E$12:$E$21,MATCH(($A232+7),$E$12:$E$21,1)))*(IFERROR(INDEX($F$12:$F$21,MATCH(($A232+7),$E$12:$E$21,1)+1),INDEX($F$12:$F$21,MATCH(($A232+7),$E$12:$E$21,1)))-INDEX($F$12:$F$21,MATCH(($A232+7),$E$12:$E$21,1)))/IF((IFERROR(INDEX($E$12:$E$21,MATCH(($A232+7),$E$12:$E$21,1)+1),INDEX($E$12:$E$21,MATCH(($A232+7),$E$12:$E$21,1))+1)-INDEX($E$12:$E$21,MATCH(($A232+7),$E$12:$E$21,1)))=0,1,IFERROR(INDEX($E$12:$E$21,MATCH(($A232+7),$E$12:$E$21,1)+1),INDEX($E$12:$E$21,MATCH(($A232+7),$E$12:$E$21,1))+1)-INDEX($E$12:$E$21,MATCH(($A232+7),$E$12:$E$21,1)))),$F$12))</f>
        <v/>
      </c>
      <c r="J232" s="30" t="str">
        <f>IF(($A232+8)&gt;$B$11, "", IFERROR((INDEX($F$12:$F$21,MATCH(($A232+8),$E$12:$E$21,1))+(($A232+8)-INDEX($E$12:$E$21,MATCH(($A232+8),$E$12:$E$21,1)))*(IFERROR(INDEX($F$12:$F$21,MATCH(($A232+8),$E$12:$E$21,1)+1),INDEX($F$12:$F$21,MATCH(($A232+8),$E$12:$E$21,1)))-INDEX($F$12:$F$21,MATCH(($A232+8),$E$12:$E$21,1)))/IF((IFERROR(INDEX($E$12:$E$21,MATCH(($A232+8),$E$12:$E$21,1)+1),INDEX($E$12:$E$21,MATCH(($A232+8),$E$12:$E$21,1))+1)-INDEX($E$12:$E$21,MATCH(($A232+8),$E$12:$E$21,1)))=0,1,IFERROR(INDEX($E$12:$E$21,MATCH(($A232+8),$E$12:$E$21,1)+1),INDEX($E$12:$E$21,MATCH(($A232+8),$E$12:$E$21,1))+1)-INDEX($E$12:$E$21,MATCH(($A232+8),$E$12:$E$21,1)))),$F$12))</f>
        <v/>
      </c>
      <c r="K232" s="30" t="str">
        <f>IF(($A232+9)&gt;$B$11, "", IFERROR((INDEX($F$12:$F$21,MATCH(($A232+9),$E$12:$E$21,1))+(($A232+9)-INDEX($E$12:$E$21,MATCH(($A232+9),$E$12:$E$21,1)))*(IFERROR(INDEX($F$12:$F$21,MATCH(($A232+9),$E$12:$E$21,1)+1),INDEX($F$12:$F$21,MATCH(($A232+9),$E$12:$E$21,1)))-INDEX($F$12:$F$21,MATCH(($A232+9),$E$12:$E$21,1)))/IF((IFERROR(INDEX($E$12:$E$21,MATCH(($A232+9),$E$12:$E$21,1)+1),INDEX($E$12:$E$21,MATCH(($A232+9),$E$12:$E$21,1))+1)-INDEX($E$12:$E$21,MATCH(($A232+9),$E$12:$E$21,1)))=0,1,IFERROR(INDEX($E$12:$E$21,MATCH(($A232+9),$E$12:$E$21,1)+1),INDEX($E$12:$E$21,MATCH(($A232+9),$E$12:$E$21,1))+1)-INDEX($E$12:$E$21,MATCH(($A232+9),$E$12:$E$21,1)))),$F$12))</f>
        <v/>
      </c>
    </row>
    <row r="233">
      <c r="A233" s="11">
        <v>350</v>
      </c>
      <c r="B233" s="30" t="str">
        <f>IF(($A233+0)&gt;$B$11, "", IFERROR((INDEX($F$12:$F$21,MATCH(($A233+0),$E$12:$E$21,1))+(($A233+0)-INDEX($E$12:$E$21,MATCH(($A233+0),$E$12:$E$21,1)))*(IFERROR(INDEX($F$12:$F$21,MATCH(($A233+0),$E$12:$E$21,1)+1),INDEX($F$12:$F$21,MATCH(($A233+0),$E$12:$E$21,1)))-INDEX($F$12:$F$21,MATCH(($A233+0),$E$12:$E$21,1)))/IF((IFERROR(INDEX($E$12:$E$21,MATCH(($A233+0),$E$12:$E$21,1)+1),INDEX($E$12:$E$21,MATCH(($A233+0),$E$12:$E$21,1))+1)-INDEX($E$12:$E$21,MATCH(($A233+0),$E$12:$E$21,1)))=0,1,IFERROR(INDEX($E$12:$E$21,MATCH(($A233+0),$E$12:$E$21,1)+1),INDEX($E$12:$E$21,MATCH(($A233+0),$E$12:$E$21,1))+1)-INDEX($E$12:$E$21,MATCH(($A233+0),$E$12:$E$21,1)))),$F$12))</f>
        <v/>
      </c>
      <c r="C233" s="30" t="str">
        <f>IF(($A233+1)&gt;$B$11, "", IFERROR((INDEX($F$12:$F$21,MATCH(($A233+1),$E$12:$E$21,1))+(($A233+1)-INDEX($E$12:$E$21,MATCH(($A233+1),$E$12:$E$21,1)))*(IFERROR(INDEX($F$12:$F$21,MATCH(($A233+1),$E$12:$E$21,1)+1),INDEX($F$12:$F$21,MATCH(($A233+1),$E$12:$E$21,1)))-INDEX($F$12:$F$21,MATCH(($A233+1),$E$12:$E$21,1)))/IF((IFERROR(INDEX($E$12:$E$21,MATCH(($A233+1),$E$12:$E$21,1)+1),INDEX($E$12:$E$21,MATCH(($A233+1),$E$12:$E$21,1))+1)-INDEX($E$12:$E$21,MATCH(($A233+1),$E$12:$E$21,1)))=0,1,IFERROR(INDEX($E$12:$E$21,MATCH(($A233+1),$E$12:$E$21,1)+1),INDEX($E$12:$E$21,MATCH(($A233+1),$E$12:$E$21,1))+1)-INDEX($E$12:$E$21,MATCH(($A233+1),$E$12:$E$21,1)))),$F$12))</f>
        <v/>
      </c>
      <c r="D233" s="30" t="str">
        <f>IF(($A233+2)&gt;$B$11, "", IFERROR((INDEX($F$12:$F$21,MATCH(($A233+2),$E$12:$E$21,1))+(($A233+2)-INDEX($E$12:$E$21,MATCH(($A233+2),$E$12:$E$21,1)))*(IFERROR(INDEX($F$12:$F$21,MATCH(($A233+2),$E$12:$E$21,1)+1),INDEX($F$12:$F$21,MATCH(($A233+2),$E$12:$E$21,1)))-INDEX($F$12:$F$21,MATCH(($A233+2),$E$12:$E$21,1)))/IF((IFERROR(INDEX($E$12:$E$21,MATCH(($A233+2),$E$12:$E$21,1)+1),INDEX($E$12:$E$21,MATCH(($A233+2),$E$12:$E$21,1))+1)-INDEX($E$12:$E$21,MATCH(($A233+2),$E$12:$E$21,1)))=0,1,IFERROR(INDEX($E$12:$E$21,MATCH(($A233+2),$E$12:$E$21,1)+1),INDEX($E$12:$E$21,MATCH(($A233+2),$E$12:$E$21,1))+1)-INDEX($E$12:$E$21,MATCH(($A233+2),$E$12:$E$21,1)))),$F$12))</f>
        <v/>
      </c>
      <c r="E233" s="30" t="str">
        <f>IF(($A233+3)&gt;$B$11, "", IFERROR((INDEX($F$12:$F$21,MATCH(($A233+3),$E$12:$E$21,1))+(($A233+3)-INDEX($E$12:$E$21,MATCH(($A233+3),$E$12:$E$21,1)))*(IFERROR(INDEX($F$12:$F$21,MATCH(($A233+3),$E$12:$E$21,1)+1),INDEX($F$12:$F$21,MATCH(($A233+3),$E$12:$E$21,1)))-INDEX($F$12:$F$21,MATCH(($A233+3),$E$12:$E$21,1)))/IF((IFERROR(INDEX($E$12:$E$21,MATCH(($A233+3),$E$12:$E$21,1)+1),INDEX($E$12:$E$21,MATCH(($A233+3),$E$12:$E$21,1))+1)-INDEX($E$12:$E$21,MATCH(($A233+3),$E$12:$E$21,1)))=0,1,IFERROR(INDEX($E$12:$E$21,MATCH(($A233+3),$E$12:$E$21,1)+1),INDEX($E$12:$E$21,MATCH(($A233+3),$E$12:$E$21,1))+1)-INDEX($E$12:$E$21,MATCH(($A233+3),$E$12:$E$21,1)))),$F$12))</f>
        <v/>
      </c>
      <c r="F233" s="30" t="str">
        <f>IF(($A233+4)&gt;$B$11, "", IFERROR((INDEX($F$12:$F$21,MATCH(($A233+4),$E$12:$E$21,1))+(($A233+4)-INDEX($E$12:$E$21,MATCH(($A233+4),$E$12:$E$21,1)))*(IFERROR(INDEX($F$12:$F$21,MATCH(($A233+4),$E$12:$E$21,1)+1),INDEX($F$12:$F$21,MATCH(($A233+4),$E$12:$E$21,1)))-INDEX($F$12:$F$21,MATCH(($A233+4),$E$12:$E$21,1)))/IF((IFERROR(INDEX($E$12:$E$21,MATCH(($A233+4),$E$12:$E$21,1)+1),INDEX($E$12:$E$21,MATCH(($A233+4),$E$12:$E$21,1))+1)-INDEX($E$12:$E$21,MATCH(($A233+4),$E$12:$E$21,1)))=0,1,IFERROR(INDEX($E$12:$E$21,MATCH(($A233+4),$E$12:$E$21,1)+1),INDEX($E$12:$E$21,MATCH(($A233+4),$E$12:$E$21,1))+1)-INDEX($E$12:$E$21,MATCH(($A233+4),$E$12:$E$21,1)))),$F$12))</f>
        <v/>
      </c>
      <c r="G233" s="30" t="str">
        <f>IF(($A233+5)&gt;$B$11, "", IFERROR((INDEX($F$12:$F$21,MATCH(($A233+5),$E$12:$E$21,1))+(($A233+5)-INDEX($E$12:$E$21,MATCH(($A233+5),$E$12:$E$21,1)))*(IFERROR(INDEX($F$12:$F$21,MATCH(($A233+5),$E$12:$E$21,1)+1),INDEX($F$12:$F$21,MATCH(($A233+5),$E$12:$E$21,1)))-INDEX($F$12:$F$21,MATCH(($A233+5),$E$12:$E$21,1)))/IF((IFERROR(INDEX($E$12:$E$21,MATCH(($A233+5),$E$12:$E$21,1)+1),INDEX($E$12:$E$21,MATCH(($A233+5),$E$12:$E$21,1))+1)-INDEX($E$12:$E$21,MATCH(($A233+5),$E$12:$E$21,1)))=0,1,IFERROR(INDEX($E$12:$E$21,MATCH(($A233+5),$E$12:$E$21,1)+1),INDEX($E$12:$E$21,MATCH(($A233+5),$E$12:$E$21,1))+1)-INDEX($E$12:$E$21,MATCH(($A233+5),$E$12:$E$21,1)))),$F$12))</f>
        <v/>
      </c>
      <c r="H233" s="30" t="str">
        <f>IF(($A233+6)&gt;$B$11, "", IFERROR((INDEX($F$12:$F$21,MATCH(($A233+6),$E$12:$E$21,1))+(($A233+6)-INDEX($E$12:$E$21,MATCH(($A233+6),$E$12:$E$21,1)))*(IFERROR(INDEX($F$12:$F$21,MATCH(($A233+6),$E$12:$E$21,1)+1),INDEX($F$12:$F$21,MATCH(($A233+6),$E$12:$E$21,1)))-INDEX($F$12:$F$21,MATCH(($A233+6),$E$12:$E$21,1)))/IF((IFERROR(INDEX($E$12:$E$21,MATCH(($A233+6),$E$12:$E$21,1)+1),INDEX($E$12:$E$21,MATCH(($A233+6),$E$12:$E$21,1))+1)-INDEX($E$12:$E$21,MATCH(($A233+6),$E$12:$E$21,1)))=0,1,IFERROR(INDEX($E$12:$E$21,MATCH(($A233+6),$E$12:$E$21,1)+1),INDEX($E$12:$E$21,MATCH(($A233+6),$E$12:$E$21,1))+1)-INDEX($E$12:$E$21,MATCH(($A233+6),$E$12:$E$21,1)))),$F$12))</f>
        <v/>
      </c>
      <c r="I233" s="30" t="str">
        <f>IF(($A233+7)&gt;$B$11, "", IFERROR((INDEX($F$12:$F$21,MATCH(($A233+7),$E$12:$E$21,1))+(($A233+7)-INDEX($E$12:$E$21,MATCH(($A233+7),$E$12:$E$21,1)))*(IFERROR(INDEX($F$12:$F$21,MATCH(($A233+7),$E$12:$E$21,1)+1),INDEX($F$12:$F$21,MATCH(($A233+7),$E$12:$E$21,1)))-INDEX($F$12:$F$21,MATCH(($A233+7),$E$12:$E$21,1)))/IF((IFERROR(INDEX($E$12:$E$21,MATCH(($A233+7),$E$12:$E$21,1)+1),INDEX($E$12:$E$21,MATCH(($A233+7),$E$12:$E$21,1))+1)-INDEX($E$12:$E$21,MATCH(($A233+7),$E$12:$E$21,1)))=0,1,IFERROR(INDEX($E$12:$E$21,MATCH(($A233+7),$E$12:$E$21,1)+1),INDEX($E$12:$E$21,MATCH(($A233+7),$E$12:$E$21,1))+1)-INDEX($E$12:$E$21,MATCH(($A233+7),$E$12:$E$21,1)))),$F$12))</f>
        <v/>
      </c>
      <c r="J233" s="30" t="str">
        <f>IF(($A233+8)&gt;$B$11, "", IFERROR((INDEX($F$12:$F$21,MATCH(($A233+8),$E$12:$E$21,1))+(($A233+8)-INDEX($E$12:$E$21,MATCH(($A233+8),$E$12:$E$21,1)))*(IFERROR(INDEX($F$12:$F$21,MATCH(($A233+8),$E$12:$E$21,1)+1),INDEX($F$12:$F$21,MATCH(($A233+8),$E$12:$E$21,1)))-INDEX($F$12:$F$21,MATCH(($A233+8),$E$12:$E$21,1)))/IF((IFERROR(INDEX($E$12:$E$21,MATCH(($A233+8),$E$12:$E$21,1)+1),INDEX($E$12:$E$21,MATCH(($A233+8),$E$12:$E$21,1))+1)-INDEX($E$12:$E$21,MATCH(($A233+8),$E$12:$E$21,1)))=0,1,IFERROR(INDEX($E$12:$E$21,MATCH(($A233+8),$E$12:$E$21,1)+1),INDEX($E$12:$E$21,MATCH(($A233+8),$E$12:$E$21,1))+1)-INDEX($E$12:$E$21,MATCH(($A233+8),$E$12:$E$21,1)))),$F$12))</f>
        <v/>
      </c>
      <c r="K233" s="30" t="str">
        <f>IF(($A233+9)&gt;$B$11, "", IFERROR((INDEX($F$12:$F$21,MATCH(($A233+9),$E$12:$E$21,1))+(($A233+9)-INDEX($E$12:$E$21,MATCH(($A233+9),$E$12:$E$21,1)))*(IFERROR(INDEX($F$12:$F$21,MATCH(($A233+9),$E$12:$E$21,1)+1),INDEX($F$12:$F$21,MATCH(($A233+9),$E$12:$E$21,1)))-INDEX($F$12:$F$21,MATCH(($A233+9),$E$12:$E$21,1)))/IF((IFERROR(INDEX($E$12:$E$21,MATCH(($A233+9),$E$12:$E$21,1)+1),INDEX($E$12:$E$21,MATCH(($A233+9),$E$12:$E$21,1))+1)-INDEX($E$12:$E$21,MATCH(($A233+9),$E$12:$E$21,1)))=0,1,IFERROR(INDEX($E$12:$E$21,MATCH(($A233+9),$E$12:$E$21,1)+1),INDEX($E$12:$E$21,MATCH(($A233+9),$E$12:$E$21,1))+1)-INDEX($E$12:$E$21,MATCH(($A233+9),$E$12:$E$21,1)))),$F$12))</f>
        <v/>
      </c>
    </row>
    <row r="234">
      <c r="A234" s="11">
        <v>360</v>
      </c>
      <c r="B234" s="30" t="str">
        <f>IF(($A234+0)&gt;$B$11, "", IFERROR((INDEX($F$12:$F$21,MATCH(($A234+0),$E$12:$E$21,1))+(($A234+0)-INDEX($E$12:$E$21,MATCH(($A234+0),$E$12:$E$21,1)))*(IFERROR(INDEX($F$12:$F$21,MATCH(($A234+0),$E$12:$E$21,1)+1),INDEX($F$12:$F$21,MATCH(($A234+0),$E$12:$E$21,1)))-INDEX($F$12:$F$21,MATCH(($A234+0),$E$12:$E$21,1)))/IF((IFERROR(INDEX($E$12:$E$21,MATCH(($A234+0),$E$12:$E$21,1)+1),INDEX($E$12:$E$21,MATCH(($A234+0),$E$12:$E$21,1))+1)-INDEX($E$12:$E$21,MATCH(($A234+0),$E$12:$E$21,1)))=0,1,IFERROR(INDEX($E$12:$E$21,MATCH(($A234+0),$E$12:$E$21,1)+1),INDEX($E$12:$E$21,MATCH(($A234+0),$E$12:$E$21,1))+1)-INDEX($E$12:$E$21,MATCH(($A234+0),$E$12:$E$21,1)))),$F$12))</f>
        <v/>
      </c>
      <c r="C234" s="30" t="str">
        <f>IF(($A234+1)&gt;$B$11, "", IFERROR((INDEX($F$12:$F$21,MATCH(($A234+1),$E$12:$E$21,1))+(($A234+1)-INDEX($E$12:$E$21,MATCH(($A234+1),$E$12:$E$21,1)))*(IFERROR(INDEX($F$12:$F$21,MATCH(($A234+1),$E$12:$E$21,1)+1),INDEX($F$12:$F$21,MATCH(($A234+1),$E$12:$E$21,1)))-INDEX($F$12:$F$21,MATCH(($A234+1),$E$12:$E$21,1)))/IF((IFERROR(INDEX($E$12:$E$21,MATCH(($A234+1),$E$12:$E$21,1)+1),INDEX($E$12:$E$21,MATCH(($A234+1),$E$12:$E$21,1))+1)-INDEX($E$12:$E$21,MATCH(($A234+1),$E$12:$E$21,1)))=0,1,IFERROR(INDEX($E$12:$E$21,MATCH(($A234+1),$E$12:$E$21,1)+1),INDEX($E$12:$E$21,MATCH(($A234+1),$E$12:$E$21,1))+1)-INDEX($E$12:$E$21,MATCH(($A234+1),$E$12:$E$21,1)))),$F$12))</f>
        <v/>
      </c>
      <c r="D234" s="30" t="str">
        <f>IF(($A234+2)&gt;$B$11, "", IFERROR((INDEX($F$12:$F$21,MATCH(($A234+2),$E$12:$E$21,1))+(($A234+2)-INDEX($E$12:$E$21,MATCH(($A234+2),$E$12:$E$21,1)))*(IFERROR(INDEX($F$12:$F$21,MATCH(($A234+2),$E$12:$E$21,1)+1),INDEX($F$12:$F$21,MATCH(($A234+2),$E$12:$E$21,1)))-INDEX($F$12:$F$21,MATCH(($A234+2),$E$12:$E$21,1)))/IF((IFERROR(INDEX($E$12:$E$21,MATCH(($A234+2),$E$12:$E$21,1)+1),INDEX($E$12:$E$21,MATCH(($A234+2),$E$12:$E$21,1))+1)-INDEX($E$12:$E$21,MATCH(($A234+2),$E$12:$E$21,1)))=0,1,IFERROR(INDEX($E$12:$E$21,MATCH(($A234+2),$E$12:$E$21,1)+1),INDEX($E$12:$E$21,MATCH(($A234+2),$E$12:$E$21,1))+1)-INDEX($E$12:$E$21,MATCH(($A234+2),$E$12:$E$21,1)))),$F$12))</f>
        <v/>
      </c>
      <c r="E234" s="30" t="str">
        <f>IF(($A234+3)&gt;$B$11, "", IFERROR((INDEX($F$12:$F$21,MATCH(($A234+3),$E$12:$E$21,1))+(($A234+3)-INDEX($E$12:$E$21,MATCH(($A234+3),$E$12:$E$21,1)))*(IFERROR(INDEX($F$12:$F$21,MATCH(($A234+3),$E$12:$E$21,1)+1),INDEX($F$12:$F$21,MATCH(($A234+3),$E$12:$E$21,1)))-INDEX($F$12:$F$21,MATCH(($A234+3),$E$12:$E$21,1)))/IF((IFERROR(INDEX($E$12:$E$21,MATCH(($A234+3),$E$12:$E$21,1)+1),INDEX($E$12:$E$21,MATCH(($A234+3),$E$12:$E$21,1))+1)-INDEX($E$12:$E$21,MATCH(($A234+3),$E$12:$E$21,1)))=0,1,IFERROR(INDEX($E$12:$E$21,MATCH(($A234+3),$E$12:$E$21,1)+1),INDEX($E$12:$E$21,MATCH(($A234+3),$E$12:$E$21,1))+1)-INDEX($E$12:$E$21,MATCH(($A234+3),$E$12:$E$21,1)))),$F$12))</f>
        <v/>
      </c>
      <c r="F234" s="30" t="str">
        <f>IF(($A234+4)&gt;$B$11, "", IFERROR((INDEX($F$12:$F$21,MATCH(($A234+4),$E$12:$E$21,1))+(($A234+4)-INDEX($E$12:$E$21,MATCH(($A234+4),$E$12:$E$21,1)))*(IFERROR(INDEX($F$12:$F$21,MATCH(($A234+4),$E$12:$E$21,1)+1),INDEX($F$12:$F$21,MATCH(($A234+4),$E$12:$E$21,1)))-INDEX($F$12:$F$21,MATCH(($A234+4),$E$12:$E$21,1)))/IF((IFERROR(INDEX($E$12:$E$21,MATCH(($A234+4),$E$12:$E$21,1)+1),INDEX($E$12:$E$21,MATCH(($A234+4),$E$12:$E$21,1))+1)-INDEX($E$12:$E$21,MATCH(($A234+4),$E$12:$E$21,1)))=0,1,IFERROR(INDEX($E$12:$E$21,MATCH(($A234+4),$E$12:$E$21,1)+1),INDEX($E$12:$E$21,MATCH(($A234+4),$E$12:$E$21,1))+1)-INDEX($E$12:$E$21,MATCH(($A234+4),$E$12:$E$21,1)))),$F$12))</f>
        <v/>
      </c>
      <c r="G234" s="30" t="str">
        <f>IF(($A234+5)&gt;$B$11, "", IFERROR((INDEX($F$12:$F$21,MATCH(($A234+5),$E$12:$E$21,1))+(($A234+5)-INDEX($E$12:$E$21,MATCH(($A234+5),$E$12:$E$21,1)))*(IFERROR(INDEX($F$12:$F$21,MATCH(($A234+5),$E$12:$E$21,1)+1),INDEX($F$12:$F$21,MATCH(($A234+5),$E$12:$E$21,1)))-INDEX($F$12:$F$21,MATCH(($A234+5),$E$12:$E$21,1)))/IF((IFERROR(INDEX($E$12:$E$21,MATCH(($A234+5),$E$12:$E$21,1)+1),INDEX($E$12:$E$21,MATCH(($A234+5),$E$12:$E$21,1))+1)-INDEX($E$12:$E$21,MATCH(($A234+5),$E$12:$E$21,1)))=0,1,IFERROR(INDEX($E$12:$E$21,MATCH(($A234+5),$E$12:$E$21,1)+1),INDEX($E$12:$E$21,MATCH(($A234+5),$E$12:$E$21,1))+1)-INDEX($E$12:$E$21,MATCH(($A234+5),$E$12:$E$21,1)))),$F$12))</f>
        <v/>
      </c>
      <c r="H234" s="30" t="str">
        <f>IF(($A234+6)&gt;$B$11, "", IFERROR((INDEX($F$12:$F$21,MATCH(($A234+6),$E$12:$E$21,1))+(($A234+6)-INDEX($E$12:$E$21,MATCH(($A234+6),$E$12:$E$21,1)))*(IFERROR(INDEX($F$12:$F$21,MATCH(($A234+6),$E$12:$E$21,1)+1),INDEX($F$12:$F$21,MATCH(($A234+6),$E$12:$E$21,1)))-INDEX($F$12:$F$21,MATCH(($A234+6),$E$12:$E$21,1)))/IF((IFERROR(INDEX($E$12:$E$21,MATCH(($A234+6),$E$12:$E$21,1)+1),INDEX($E$12:$E$21,MATCH(($A234+6),$E$12:$E$21,1))+1)-INDEX($E$12:$E$21,MATCH(($A234+6),$E$12:$E$21,1)))=0,1,IFERROR(INDEX($E$12:$E$21,MATCH(($A234+6),$E$12:$E$21,1)+1),INDEX($E$12:$E$21,MATCH(($A234+6),$E$12:$E$21,1))+1)-INDEX($E$12:$E$21,MATCH(($A234+6),$E$12:$E$21,1)))),$F$12))</f>
        <v/>
      </c>
      <c r="I234" s="30" t="str">
        <f>IF(($A234+7)&gt;$B$11, "", IFERROR((INDEX($F$12:$F$21,MATCH(($A234+7),$E$12:$E$21,1))+(($A234+7)-INDEX($E$12:$E$21,MATCH(($A234+7),$E$12:$E$21,1)))*(IFERROR(INDEX($F$12:$F$21,MATCH(($A234+7),$E$12:$E$21,1)+1),INDEX($F$12:$F$21,MATCH(($A234+7),$E$12:$E$21,1)))-INDEX($F$12:$F$21,MATCH(($A234+7),$E$12:$E$21,1)))/IF((IFERROR(INDEX($E$12:$E$21,MATCH(($A234+7),$E$12:$E$21,1)+1),INDEX($E$12:$E$21,MATCH(($A234+7),$E$12:$E$21,1))+1)-INDEX($E$12:$E$21,MATCH(($A234+7),$E$12:$E$21,1)))=0,1,IFERROR(INDEX($E$12:$E$21,MATCH(($A234+7),$E$12:$E$21,1)+1),INDEX($E$12:$E$21,MATCH(($A234+7),$E$12:$E$21,1))+1)-INDEX($E$12:$E$21,MATCH(($A234+7),$E$12:$E$21,1)))),$F$12))</f>
        <v/>
      </c>
      <c r="J234" s="30" t="str">
        <f>IF(($A234+8)&gt;$B$11, "", IFERROR((INDEX($F$12:$F$21,MATCH(($A234+8),$E$12:$E$21,1))+(($A234+8)-INDEX($E$12:$E$21,MATCH(($A234+8),$E$12:$E$21,1)))*(IFERROR(INDEX($F$12:$F$21,MATCH(($A234+8),$E$12:$E$21,1)+1),INDEX($F$12:$F$21,MATCH(($A234+8),$E$12:$E$21,1)))-INDEX($F$12:$F$21,MATCH(($A234+8),$E$12:$E$21,1)))/IF((IFERROR(INDEX($E$12:$E$21,MATCH(($A234+8),$E$12:$E$21,1)+1),INDEX($E$12:$E$21,MATCH(($A234+8),$E$12:$E$21,1))+1)-INDEX($E$12:$E$21,MATCH(($A234+8),$E$12:$E$21,1)))=0,1,IFERROR(INDEX($E$12:$E$21,MATCH(($A234+8),$E$12:$E$21,1)+1),INDEX($E$12:$E$21,MATCH(($A234+8),$E$12:$E$21,1))+1)-INDEX($E$12:$E$21,MATCH(($A234+8),$E$12:$E$21,1)))),$F$12))</f>
        <v/>
      </c>
      <c r="K234" s="30" t="str">
        <f>IF(($A234+9)&gt;$B$11, "", IFERROR((INDEX($F$12:$F$21,MATCH(($A234+9),$E$12:$E$21,1))+(($A234+9)-INDEX($E$12:$E$21,MATCH(($A234+9),$E$12:$E$21,1)))*(IFERROR(INDEX($F$12:$F$21,MATCH(($A234+9),$E$12:$E$21,1)+1),INDEX($F$12:$F$21,MATCH(($A234+9),$E$12:$E$21,1)))-INDEX($F$12:$F$21,MATCH(($A234+9),$E$12:$E$21,1)))/IF((IFERROR(INDEX($E$12:$E$21,MATCH(($A234+9),$E$12:$E$21,1)+1),INDEX($E$12:$E$21,MATCH(($A234+9),$E$12:$E$21,1))+1)-INDEX($E$12:$E$21,MATCH(($A234+9),$E$12:$E$21,1)))=0,1,IFERROR(INDEX($E$12:$E$21,MATCH(($A234+9),$E$12:$E$21,1)+1),INDEX($E$12:$E$21,MATCH(($A234+9),$E$12:$E$21,1))+1)-INDEX($E$12:$E$21,MATCH(($A234+9),$E$12:$E$21,1)))),$F$12))</f>
        <v/>
      </c>
    </row>
    <row r="235">
      <c r="A235" s="11">
        <v>370</v>
      </c>
      <c r="B235" s="30" t="str">
        <f>IF(($A235+0)&gt;$B$11, "", IFERROR((INDEX($F$12:$F$21,MATCH(($A235+0),$E$12:$E$21,1))+(($A235+0)-INDEX($E$12:$E$21,MATCH(($A235+0),$E$12:$E$21,1)))*(IFERROR(INDEX($F$12:$F$21,MATCH(($A235+0),$E$12:$E$21,1)+1),INDEX($F$12:$F$21,MATCH(($A235+0),$E$12:$E$21,1)))-INDEX($F$12:$F$21,MATCH(($A235+0),$E$12:$E$21,1)))/IF((IFERROR(INDEX($E$12:$E$21,MATCH(($A235+0),$E$12:$E$21,1)+1),INDEX($E$12:$E$21,MATCH(($A235+0),$E$12:$E$21,1))+1)-INDEX($E$12:$E$21,MATCH(($A235+0),$E$12:$E$21,1)))=0,1,IFERROR(INDEX($E$12:$E$21,MATCH(($A235+0),$E$12:$E$21,1)+1),INDEX($E$12:$E$21,MATCH(($A235+0),$E$12:$E$21,1))+1)-INDEX($E$12:$E$21,MATCH(($A235+0),$E$12:$E$21,1)))),$F$12))</f>
        <v/>
      </c>
      <c r="C235" s="30" t="str">
        <f>IF(($A235+1)&gt;$B$11, "", IFERROR((INDEX($F$12:$F$21,MATCH(($A235+1),$E$12:$E$21,1))+(($A235+1)-INDEX($E$12:$E$21,MATCH(($A235+1),$E$12:$E$21,1)))*(IFERROR(INDEX($F$12:$F$21,MATCH(($A235+1),$E$12:$E$21,1)+1),INDEX($F$12:$F$21,MATCH(($A235+1),$E$12:$E$21,1)))-INDEX($F$12:$F$21,MATCH(($A235+1),$E$12:$E$21,1)))/IF((IFERROR(INDEX($E$12:$E$21,MATCH(($A235+1),$E$12:$E$21,1)+1),INDEX($E$12:$E$21,MATCH(($A235+1),$E$12:$E$21,1))+1)-INDEX($E$12:$E$21,MATCH(($A235+1),$E$12:$E$21,1)))=0,1,IFERROR(INDEX($E$12:$E$21,MATCH(($A235+1),$E$12:$E$21,1)+1),INDEX($E$12:$E$21,MATCH(($A235+1),$E$12:$E$21,1))+1)-INDEX($E$12:$E$21,MATCH(($A235+1),$E$12:$E$21,1)))),$F$12))</f>
        <v/>
      </c>
      <c r="D235" s="30" t="str">
        <f>IF(($A235+2)&gt;$B$11, "", IFERROR((INDEX($F$12:$F$21,MATCH(($A235+2),$E$12:$E$21,1))+(($A235+2)-INDEX($E$12:$E$21,MATCH(($A235+2),$E$12:$E$21,1)))*(IFERROR(INDEX($F$12:$F$21,MATCH(($A235+2),$E$12:$E$21,1)+1),INDEX($F$12:$F$21,MATCH(($A235+2),$E$12:$E$21,1)))-INDEX($F$12:$F$21,MATCH(($A235+2),$E$12:$E$21,1)))/IF((IFERROR(INDEX($E$12:$E$21,MATCH(($A235+2),$E$12:$E$21,1)+1),INDEX($E$12:$E$21,MATCH(($A235+2),$E$12:$E$21,1))+1)-INDEX($E$12:$E$21,MATCH(($A235+2),$E$12:$E$21,1)))=0,1,IFERROR(INDEX($E$12:$E$21,MATCH(($A235+2),$E$12:$E$21,1)+1),INDEX($E$12:$E$21,MATCH(($A235+2),$E$12:$E$21,1))+1)-INDEX($E$12:$E$21,MATCH(($A235+2),$E$12:$E$21,1)))),$F$12))</f>
        <v/>
      </c>
      <c r="E235" s="30" t="str">
        <f>IF(($A235+3)&gt;$B$11, "", IFERROR((INDEX($F$12:$F$21,MATCH(($A235+3),$E$12:$E$21,1))+(($A235+3)-INDEX($E$12:$E$21,MATCH(($A235+3),$E$12:$E$21,1)))*(IFERROR(INDEX($F$12:$F$21,MATCH(($A235+3),$E$12:$E$21,1)+1),INDEX($F$12:$F$21,MATCH(($A235+3),$E$12:$E$21,1)))-INDEX($F$12:$F$21,MATCH(($A235+3),$E$12:$E$21,1)))/IF((IFERROR(INDEX($E$12:$E$21,MATCH(($A235+3),$E$12:$E$21,1)+1),INDEX($E$12:$E$21,MATCH(($A235+3),$E$12:$E$21,1))+1)-INDEX($E$12:$E$21,MATCH(($A235+3),$E$12:$E$21,1)))=0,1,IFERROR(INDEX($E$12:$E$21,MATCH(($A235+3),$E$12:$E$21,1)+1),INDEX($E$12:$E$21,MATCH(($A235+3),$E$12:$E$21,1))+1)-INDEX($E$12:$E$21,MATCH(($A235+3),$E$12:$E$21,1)))),$F$12))</f>
        <v/>
      </c>
      <c r="F235" s="30" t="str">
        <f>IF(($A235+4)&gt;$B$11, "", IFERROR((INDEX($F$12:$F$21,MATCH(($A235+4),$E$12:$E$21,1))+(($A235+4)-INDEX($E$12:$E$21,MATCH(($A235+4),$E$12:$E$21,1)))*(IFERROR(INDEX($F$12:$F$21,MATCH(($A235+4),$E$12:$E$21,1)+1),INDEX($F$12:$F$21,MATCH(($A235+4),$E$12:$E$21,1)))-INDEX($F$12:$F$21,MATCH(($A235+4),$E$12:$E$21,1)))/IF((IFERROR(INDEX($E$12:$E$21,MATCH(($A235+4),$E$12:$E$21,1)+1),INDEX($E$12:$E$21,MATCH(($A235+4),$E$12:$E$21,1))+1)-INDEX($E$12:$E$21,MATCH(($A235+4),$E$12:$E$21,1)))=0,1,IFERROR(INDEX($E$12:$E$21,MATCH(($A235+4),$E$12:$E$21,1)+1),INDEX($E$12:$E$21,MATCH(($A235+4),$E$12:$E$21,1))+1)-INDEX($E$12:$E$21,MATCH(($A235+4),$E$12:$E$21,1)))),$F$12))</f>
        <v/>
      </c>
      <c r="G235" s="30" t="str">
        <f>IF(($A235+5)&gt;$B$11, "", IFERROR((INDEX($F$12:$F$21,MATCH(($A235+5),$E$12:$E$21,1))+(($A235+5)-INDEX($E$12:$E$21,MATCH(($A235+5),$E$12:$E$21,1)))*(IFERROR(INDEX($F$12:$F$21,MATCH(($A235+5),$E$12:$E$21,1)+1),INDEX($F$12:$F$21,MATCH(($A235+5),$E$12:$E$21,1)))-INDEX($F$12:$F$21,MATCH(($A235+5),$E$12:$E$21,1)))/IF((IFERROR(INDEX($E$12:$E$21,MATCH(($A235+5),$E$12:$E$21,1)+1),INDEX($E$12:$E$21,MATCH(($A235+5),$E$12:$E$21,1))+1)-INDEX($E$12:$E$21,MATCH(($A235+5),$E$12:$E$21,1)))=0,1,IFERROR(INDEX($E$12:$E$21,MATCH(($A235+5),$E$12:$E$21,1)+1),INDEX($E$12:$E$21,MATCH(($A235+5),$E$12:$E$21,1))+1)-INDEX($E$12:$E$21,MATCH(($A235+5),$E$12:$E$21,1)))),$F$12))</f>
        <v/>
      </c>
      <c r="H235" s="30" t="str">
        <f>IF(($A235+6)&gt;$B$11, "", IFERROR((INDEX($F$12:$F$21,MATCH(($A235+6),$E$12:$E$21,1))+(($A235+6)-INDEX($E$12:$E$21,MATCH(($A235+6),$E$12:$E$21,1)))*(IFERROR(INDEX($F$12:$F$21,MATCH(($A235+6),$E$12:$E$21,1)+1),INDEX($F$12:$F$21,MATCH(($A235+6),$E$12:$E$21,1)))-INDEX($F$12:$F$21,MATCH(($A235+6),$E$12:$E$21,1)))/IF((IFERROR(INDEX($E$12:$E$21,MATCH(($A235+6),$E$12:$E$21,1)+1),INDEX($E$12:$E$21,MATCH(($A235+6),$E$12:$E$21,1))+1)-INDEX($E$12:$E$21,MATCH(($A235+6),$E$12:$E$21,1)))=0,1,IFERROR(INDEX($E$12:$E$21,MATCH(($A235+6),$E$12:$E$21,1)+1),INDEX($E$12:$E$21,MATCH(($A235+6),$E$12:$E$21,1))+1)-INDEX($E$12:$E$21,MATCH(($A235+6),$E$12:$E$21,1)))),$F$12))</f>
        <v/>
      </c>
      <c r="I235" s="30" t="str">
        <f>IF(($A235+7)&gt;$B$11, "", IFERROR((INDEX($F$12:$F$21,MATCH(($A235+7),$E$12:$E$21,1))+(($A235+7)-INDEX($E$12:$E$21,MATCH(($A235+7),$E$12:$E$21,1)))*(IFERROR(INDEX($F$12:$F$21,MATCH(($A235+7),$E$12:$E$21,1)+1),INDEX($F$12:$F$21,MATCH(($A235+7),$E$12:$E$21,1)))-INDEX($F$12:$F$21,MATCH(($A235+7),$E$12:$E$21,1)))/IF((IFERROR(INDEX($E$12:$E$21,MATCH(($A235+7),$E$12:$E$21,1)+1),INDEX($E$12:$E$21,MATCH(($A235+7),$E$12:$E$21,1))+1)-INDEX($E$12:$E$21,MATCH(($A235+7),$E$12:$E$21,1)))=0,1,IFERROR(INDEX($E$12:$E$21,MATCH(($A235+7),$E$12:$E$21,1)+1),INDEX($E$12:$E$21,MATCH(($A235+7),$E$12:$E$21,1))+1)-INDEX($E$12:$E$21,MATCH(($A235+7),$E$12:$E$21,1)))),$F$12))</f>
        <v/>
      </c>
      <c r="J235" s="30" t="str">
        <f>IF(($A235+8)&gt;$B$11, "", IFERROR((INDEX($F$12:$F$21,MATCH(($A235+8),$E$12:$E$21,1))+(($A235+8)-INDEX($E$12:$E$21,MATCH(($A235+8),$E$12:$E$21,1)))*(IFERROR(INDEX($F$12:$F$21,MATCH(($A235+8),$E$12:$E$21,1)+1),INDEX($F$12:$F$21,MATCH(($A235+8),$E$12:$E$21,1)))-INDEX($F$12:$F$21,MATCH(($A235+8),$E$12:$E$21,1)))/IF((IFERROR(INDEX($E$12:$E$21,MATCH(($A235+8),$E$12:$E$21,1)+1),INDEX($E$12:$E$21,MATCH(($A235+8),$E$12:$E$21,1))+1)-INDEX($E$12:$E$21,MATCH(($A235+8),$E$12:$E$21,1)))=0,1,IFERROR(INDEX($E$12:$E$21,MATCH(($A235+8),$E$12:$E$21,1)+1),INDEX($E$12:$E$21,MATCH(($A235+8),$E$12:$E$21,1))+1)-INDEX($E$12:$E$21,MATCH(($A235+8),$E$12:$E$21,1)))),$F$12))</f>
        <v/>
      </c>
      <c r="K235" s="30" t="str">
        <f>IF(($A235+9)&gt;$B$11, "", IFERROR((INDEX($F$12:$F$21,MATCH(($A235+9),$E$12:$E$21,1))+(($A235+9)-INDEX($E$12:$E$21,MATCH(($A235+9),$E$12:$E$21,1)))*(IFERROR(INDEX($F$12:$F$21,MATCH(($A235+9),$E$12:$E$21,1)+1),INDEX($F$12:$F$21,MATCH(($A235+9),$E$12:$E$21,1)))-INDEX($F$12:$F$21,MATCH(($A235+9),$E$12:$E$21,1)))/IF((IFERROR(INDEX($E$12:$E$21,MATCH(($A235+9),$E$12:$E$21,1)+1),INDEX($E$12:$E$21,MATCH(($A235+9),$E$12:$E$21,1))+1)-INDEX($E$12:$E$21,MATCH(($A235+9),$E$12:$E$21,1)))=0,1,IFERROR(INDEX($E$12:$E$21,MATCH(($A235+9),$E$12:$E$21,1)+1),INDEX($E$12:$E$21,MATCH(($A235+9),$E$12:$E$21,1))+1)-INDEX($E$12:$E$21,MATCH(($A235+9),$E$12:$E$21,1)))),$F$12))</f>
        <v/>
      </c>
    </row>
    <row r="236">
      <c r="A236" s="11">
        <v>380</v>
      </c>
      <c r="B236" s="30" t="str">
        <f>IF(($A236+0)&gt;$B$11, "", IFERROR((INDEX($F$12:$F$21,MATCH(($A236+0),$E$12:$E$21,1))+(($A236+0)-INDEX($E$12:$E$21,MATCH(($A236+0),$E$12:$E$21,1)))*(IFERROR(INDEX($F$12:$F$21,MATCH(($A236+0),$E$12:$E$21,1)+1),INDEX($F$12:$F$21,MATCH(($A236+0),$E$12:$E$21,1)))-INDEX($F$12:$F$21,MATCH(($A236+0),$E$12:$E$21,1)))/IF((IFERROR(INDEX($E$12:$E$21,MATCH(($A236+0),$E$12:$E$21,1)+1),INDEX($E$12:$E$21,MATCH(($A236+0),$E$12:$E$21,1))+1)-INDEX($E$12:$E$21,MATCH(($A236+0),$E$12:$E$21,1)))=0,1,IFERROR(INDEX($E$12:$E$21,MATCH(($A236+0),$E$12:$E$21,1)+1),INDEX($E$12:$E$21,MATCH(($A236+0),$E$12:$E$21,1))+1)-INDEX($E$12:$E$21,MATCH(($A236+0),$E$12:$E$21,1)))),$F$12))</f>
        <v/>
      </c>
      <c r="C236" s="30" t="str">
        <f>IF(($A236+1)&gt;$B$11, "", IFERROR((INDEX($F$12:$F$21,MATCH(($A236+1),$E$12:$E$21,1))+(($A236+1)-INDEX($E$12:$E$21,MATCH(($A236+1),$E$12:$E$21,1)))*(IFERROR(INDEX($F$12:$F$21,MATCH(($A236+1),$E$12:$E$21,1)+1),INDEX($F$12:$F$21,MATCH(($A236+1),$E$12:$E$21,1)))-INDEX($F$12:$F$21,MATCH(($A236+1),$E$12:$E$21,1)))/IF((IFERROR(INDEX($E$12:$E$21,MATCH(($A236+1),$E$12:$E$21,1)+1),INDEX($E$12:$E$21,MATCH(($A236+1),$E$12:$E$21,1))+1)-INDEX($E$12:$E$21,MATCH(($A236+1),$E$12:$E$21,1)))=0,1,IFERROR(INDEX($E$12:$E$21,MATCH(($A236+1),$E$12:$E$21,1)+1),INDEX($E$12:$E$21,MATCH(($A236+1),$E$12:$E$21,1))+1)-INDEX($E$12:$E$21,MATCH(($A236+1),$E$12:$E$21,1)))),$F$12))</f>
        <v/>
      </c>
      <c r="D236" s="30" t="str">
        <f>IF(($A236+2)&gt;$B$11, "", IFERROR((INDEX($F$12:$F$21,MATCH(($A236+2),$E$12:$E$21,1))+(($A236+2)-INDEX($E$12:$E$21,MATCH(($A236+2),$E$12:$E$21,1)))*(IFERROR(INDEX($F$12:$F$21,MATCH(($A236+2),$E$12:$E$21,1)+1),INDEX($F$12:$F$21,MATCH(($A236+2),$E$12:$E$21,1)))-INDEX($F$12:$F$21,MATCH(($A236+2),$E$12:$E$21,1)))/IF((IFERROR(INDEX($E$12:$E$21,MATCH(($A236+2),$E$12:$E$21,1)+1),INDEX($E$12:$E$21,MATCH(($A236+2),$E$12:$E$21,1))+1)-INDEX($E$12:$E$21,MATCH(($A236+2),$E$12:$E$21,1)))=0,1,IFERROR(INDEX($E$12:$E$21,MATCH(($A236+2),$E$12:$E$21,1)+1),INDEX($E$12:$E$21,MATCH(($A236+2),$E$12:$E$21,1))+1)-INDEX($E$12:$E$21,MATCH(($A236+2),$E$12:$E$21,1)))),$F$12))</f>
        <v/>
      </c>
      <c r="E236" s="30" t="str">
        <f>IF(($A236+3)&gt;$B$11, "", IFERROR((INDEX($F$12:$F$21,MATCH(($A236+3),$E$12:$E$21,1))+(($A236+3)-INDEX($E$12:$E$21,MATCH(($A236+3),$E$12:$E$21,1)))*(IFERROR(INDEX($F$12:$F$21,MATCH(($A236+3),$E$12:$E$21,1)+1),INDEX($F$12:$F$21,MATCH(($A236+3),$E$12:$E$21,1)))-INDEX($F$12:$F$21,MATCH(($A236+3),$E$12:$E$21,1)))/IF((IFERROR(INDEX($E$12:$E$21,MATCH(($A236+3),$E$12:$E$21,1)+1),INDEX($E$12:$E$21,MATCH(($A236+3),$E$12:$E$21,1))+1)-INDEX($E$12:$E$21,MATCH(($A236+3),$E$12:$E$21,1)))=0,1,IFERROR(INDEX($E$12:$E$21,MATCH(($A236+3),$E$12:$E$21,1)+1),INDEX($E$12:$E$21,MATCH(($A236+3),$E$12:$E$21,1))+1)-INDEX($E$12:$E$21,MATCH(($A236+3),$E$12:$E$21,1)))),$F$12))</f>
        <v/>
      </c>
      <c r="F236" s="30" t="str">
        <f>IF(($A236+4)&gt;$B$11, "", IFERROR((INDEX($F$12:$F$21,MATCH(($A236+4),$E$12:$E$21,1))+(($A236+4)-INDEX($E$12:$E$21,MATCH(($A236+4),$E$12:$E$21,1)))*(IFERROR(INDEX($F$12:$F$21,MATCH(($A236+4),$E$12:$E$21,1)+1),INDEX($F$12:$F$21,MATCH(($A236+4),$E$12:$E$21,1)))-INDEX($F$12:$F$21,MATCH(($A236+4),$E$12:$E$21,1)))/IF((IFERROR(INDEX($E$12:$E$21,MATCH(($A236+4),$E$12:$E$21,1)+1),INDEX($E$12:$E$21,MATCH(($A236+4),$E$12:$E$21,1))+1)-INDEX($E$12:$E$21,MATCH(($A236+4),$E$12:$E$21,1)))=0,1,IFERROR(INDEX($E$12:$E$21,MATCH(($A236+4),$E$12:$E$21,1)+1),INDEX($E$12:$E$21,MATCH(($A236+4),$E$12:$E$21,1))+1)-INDEX($E$12:$E$21,MATCH(($A236+4),$E$12:$E$21,1)))),$F$12))</f>
        <v/>
      </c>
      <c r="G236" s="30" t="str">
        <f>IF(($A236+5)&gt;$B$11, "", IFERROR((INDEX($F$12:$F$21,MATCH(($A236+5),$E$12:$E$21,1))+(($A236+5)-INDEX($E$12:$E$21,MATCH(($A236+5),$E$12:$E$21,1)))*(IFERROR(INDEX($F$12:$F$21,MATCH(($A236+5),$E$12:$E$21,1)+1),INDEX($F$12:$F$21,MATCH(($A236+5),$E$12:$E$21,1)))-INDEX($F$12:$F$21,MATCH(($A236+5),$E$12:$E$21,1)))/IF((IFERROR(INDEX($E$12:$E$21,MATCH(($A236+5),$E$12:$E$21,1)+1),INDEX($E$12:$E$21,MATCH(($A236+5),$E$12:$E$21,1))+1)-INDEX($E$12:$E$21,MATCH(($A236+5),$E$12:$E$21,1)))=0,1,IFERROR(INDEX($E$12:$E$21,MATCH(($A236+5),$E$12:$E$21,1)+1),INDEX($E$12:$E$21,MATCH(($A236+5),$E$12:$E$21,1))+1)-INDEX($E$12:$E$21,MATCH(($A236+5),$E$12:$E$21,1)))),$F$12))</f>
        <v/>
      </c>
      <c r="H236" s="30" t="str">
        <f>IF(($A236+6)&gt;$B$11, "", IFERROR((INDEX($F$12:$F$21,MATCH(($A236+6),$E$12:$E$21,1))+(($A236+6)-INDEX($E$12:$E$21,MATCH(($A236+6),$E$12:$E$21,1)))*(IFERROR(INDEX($F$12:$F$21,MATCH(($A236+6),$E$12:$E$21,1)+1),INDEX($F$12:$F$21,MATCH(($A236+6),$E$12:$E$21,1)))-INDEX($F$12:$F$21,MATCH(($A236+6),$E$12:$E$21,1)))/IF((IFERROR(INDEX($E$12:$E$21,MATCH(($A236+6),$E$12:$E$21,1)+1),INDEX($E$12:$E$21,MATCH(($A236+6),$E$12:$E$21,1))+1)-INDEX($E$12:$E$21,MATCH(($A236+6),$E$12:$E$21,1)))=0,1,IFERROR(INDEX($E$12:$E$21,MATCH(($A236+6),$E$12:$E$21,1)+1),INDEX($E$12:$E$21,MATCH(($A236+6),$E$12:$E$21,1))+1)-INDEX($E$12:$E$21,MATCH(($A236+6),$E$12:$E$21,1)))),$F$12))</f>
        <v/>
      </c>
      <c r="I236" s="30" t="str">
        <f>IF(($A236+7)&gt;$B$11, "", IFERROR((INDEX($F$12:$F$21,MATCH(($A236+7),$E$12:$E$21,1))+(($A236+7)-INDEX($E$12:$E$21,MATCH(($A236+7),$E$12:$E$21,1)))*(IFERROR(INDEX($F$12:$F$21,MATCH(($A236+7),$E$12:$E$21,1)+1),INDEX($F$12:$F$21,MATCH(($A236+7),$E$12:$E$21,1)))-INDEX($F$12:$F$21,MATCH(($A236+7),$E$12:$E$21,1)))/IF((IFERROR(INDEX($E$12:$E$21,MATCH(($A236+7),$E$12:$E$21,1)+1),INDEX($E$12:$E$21,MATCH(($A236+7),$E$12:$E$21,1))+1)-INDEX($E$12:$E$21,MATCH(($A236+7),$E$12:$E$21,1)))=0,1,IFERROR(INDEX($E$12:$E$21,MATCH(($A236+7),$E$12:$E$21,1)+1),INDEX($E$12:$E$21,MATCH(($A236+7),$E$12:$E$21,1))+1)-INDEX($E$12:$E$21,MATCH(($A236+7),$E$12:$E$21,1)))),$F$12))</f>
        <v/>
      </c>
      <c r="J236" s="30" t="str">
        <f>IF(($A236+8)&gt;$B$11, "", IFERROR((INDEX($F$12:$F$21,MATCH(($A236+8),$E$12:$E$21,1))+(($A236+8)-INDEX($E$12:$E$21,MATCH(($A236+8),$E$12:$E$21,1)))*(IFERROR(INDEX($F$12:$F$21,MATCH(($A236+8),$E$12:$E$21,1)+1),INDEX($F$12:$F$21,MATCH(($A236+8),$E$12:$E$21,1)))-INDEX($F$12:$F$21,MATCH(($A236+8),$E$12:$E$21,1)))/IF((IFERROR(INDEX($E$12:$E$21,MATCH(($A236+8),$E$12:$E$21,1)+1),INDEX($E$12:$E$21,MATCH(($A236+8),$E$12:$E$21,1))+1)-INDEX($E$12:$E$21,MATCH(($A236+8),$E$12:$E$21,1)))=0,1,IFERROR(INDEX($E$12:$E$21,MATCH(($A236+8),$E$12:$E$21,1)+1),INDEX($E$12:$E$21,MATCH(($A236+8),$E$12:$E$21,1))+1)-INDEX($E$12:$E$21,MATCH(($A236+8),$E$12:$E$21,1)))),$F$12))</f>
        <v/>
      </c>
      <c r="K236" s="30" t="str">
        <f>IF(($A236+9)&gt;$B$11, "", IFERROR((INDEX($F$12:$F$21,MATCH(($A236+9),$E$12:$E$21,1))+(($A236+9)-INDEX($E$12:$E$21,MATCH(($A236+9),$E$12:$E$21,1)))*(IFERROR(INDEX($F$12:$F$21,MATCH(($A236+9),$E$12:$E$21,1)+1),INDEX($F$12:$F$21,MATCH(($A236+9),$E$12:$E$21,1)))-INDEX($F$12:$F$21,MATCH(($A236+9),$E$12:$E$21,1)))/IF((IFERROR(INDEX($E$12:$E$21,MATCH(($A236+9),$E$12:$E$21,1)+1),INDEX($E$12:$E$21,MATCH(($A236+9),$E$12:$E$21,1))+1)-INDEX($E$12:$E$21,MATCH(($A236+9),$E$12:$E$21,1)))=0,1,IFERROR(INDEX($E$12:$E$21,MATCH(($A236+9),$E$12:$E$21,1)+1),INDEX($E$12:$E$21,MATCH(($A236+9),$E$12:$E$21,1))+1)-INDEX($E$12:$E$21,MATCH(($A236+9),$E$12:$E$21,1)))),$F$12))</f>
        <v/>
      </c>
    </row>
    <row r="237">
      <c r="A237" s="11">
        <v>390</v>
      </c>
      <c r="B237" s="30" t="str">
        <f>IF(($A237+0)&gt;$B$11, "", IFERROR((INDEX($F$12:$F$21,MATCH(($A237+0),$E$12:$E$21,1))+(($A237+0)-INDEX($E$12:$E$21,MATCH(($A237+0),$E$12:$E$21,1)))*(IFERROR(INDEX($F$12:$F$21,MATCH(($A237+0),$E$12:$E$21,1)+1),INDEX($F$12:$F$21,MATCH(($A237+0),$E$12:$E$21,1)))-INDEX($F$12:$F$21,MATCH(($A237+0),$E$12:$E$21,1)))/IF((IFERROR(INDEX($E$12:$E$21,MATCH(($A237+0),$E$12:$E$21,1)+1),INDEX($E$12:$E$21,MATCH(($A237+0),$E$12:$E$21,1))+1)-INDEX($E$12:$E$21,MATCH(($A237+0),$E$12:$E$21,1)))=0,1,IFERROR(INDEX($E$12:$E$21,MATCH(($A237+0),$E$12:$E$21,1)+1),INDEX($E$12:$E$21,MATCH(($A237+0),$E$12:$E$21,1))+1)-INDEX($E$12:$E$21,MATCH(($A237+0),$E$12:$E$21,1)))),$F$12))</f>
        <v/>
      </c>
      <c r="C237" s="30" t="str">
        <f>IF(($A237+1)&gt;$B$11, "", IFERROR((INDEX($F$12:$F$21,MATCH(($A237+1),$E$12:$E$21,1))+(($A237+1)-INDEX($E$12:$E$21,MATCH(($A237+1),$E$12:$E$21,1)))*(IFERROR(INDEX($F$12:$F$21,MATCH(($A237+1),$E$12:$E$21,1)+1),INDEX($F$12:$F$21,MATCH(($A237+1),$E$12:$E$21,1)))-INDEX($F$12:$F$21,MATCH(($A237+1),$E$12:$E$21,1)))/IF((IFERROR(INDEX($E$12:$E$21,MATCH(($A237+1),$E$12:$E$21,1)+1),INDEX($E$12:$E$21,MATCH(($A237+1),$E$12:$E$21,1))+1)-INDEX($E$12:$E$21,MATCH(($A237+1),$E$12:$E$21,1)))=0,1,IFERROR(INDEX($E$12:$E$21,MATCH(($A237+1),$E$12:$E$21,1)+1),INDEX($E$12:$E$21,MATCH(($A237+1),$E$12:$E$21,1))+1)-INDEX($E$12:$E$21,MATCH(($A237+1),$E$12:$E$21,1)))),$F$12))</f>
        <v/>
      </c>
      <c r="D237" s="30" t="str">
        <f>IF(($A237+2)&gt;$B$11, "", IFERROR((INDEX($F$12:$F$21,MATCH(($A237+2),$E$12:$E$21,1))+(($A237+2)-INDEX($E$12:$E$21,MATCH(($A237+2),$E$12:$E$21,1)))*(IFERROR(INDEX($F$12:$F$21,MATCH(($A237+2),$E$12:$E$21,1)+1),INDEX($F$12:$F$21,MATCH(($A237+2),$E$12:$E$21,1)))-INDEX($F$12:$F$21,MATCH(($A237+2),$E$12:$E$21,1)))/IF((IFERROR(INDEX($E$12:$E$21,MATCH(($A237+2),$E$12:$E$21,1)+1),INDEX($E$12:$E$21,MATCH(($A237+2),$E$12:$E$21,1))+1)-INDEX($E$12:$E$21,MATCH(($A237+2),$E$12:$E$21,1)))=0,1,IFERROR(INDEX($E$12:$E$21,MATCH(($A237+2),$E$12:$E$21,1)+1),INDEX($E$12:$E$21,MATCH(($A237+2),$E$12:$E$21,1))+1)-INDEX($E$12:$E$21,MATCH(($A237+2),$E$12:$E$21,1)))),$F$12))</f>
        <v/>
      </c>
      <c r="E237" s="30" t="str">
        <f>IF(($A237+3)&gt;$B$11, "", IFERROR((INDEX($F$12:$F$21,MATCH(($A237+3),$E$12:$E$21,1))+(($A237+3)-INDEX($E$12:$E$21,MATCH(($A237+3),$E$12:$E$21,1)))*(IFERROR(INDEX($F$12:$F$21,MATCH(($A237+3),$E$12:$E$21,1)+1),INDEX($F$12:$F$21,MATCH(($A237+3),$E$12:$E$21,1)))-INDEX($F$12:$F$21,MATCH(($A237+3),$E$12:$E$21,1)))/IF((IFERROR(INDEX($E$12:$E$21,MATCH(($A237+3),$E$12:$E$21,1)+1),INDEX($E$12:$E$21,MATCH(($A237+3),$E$12:$E$21,1))+1)-INDEX($E$12:$E$21,MATCH(($A237+3),$E$12:$E$21,1)))=0,1,IFERROR(INDEX($E$12:$E$21,MATCH(($A237+3),$E$12:$E$21,1)+1),INDEX($E$12:$E$21,MATCH(($A237+3),$E$12:$E$21,1))+1)-INDEX($E$12:$E$21,MATCH(($A237+3),$E$12:$E$21,1)))),$F$12))</f>
        <v/>
      </c>
      <c r="F237" s="30" t="str">
        <f>IF(($A237+4)&gt;$B$11, "", IFERROR((INDEX($F$12:$F$21,MATCH(($A237+4),$E$12:$E$21,1))+(($A237+4)-INDEX($E$12:$E$21,MATCH(($A237+4),$E$12:$E$21,1)))*(IFERROR(INDEX($F$12:$F$21,MATCH(($A237+4),$E$12:$E$21,1)+1),INDEX($F$12:$F$21,MATCH(($A237+4),$E$12:$E$21,1)))-INDEX($F$12:$F$21,MATCH(($A237+4),$E$12:$E$21,1)))/IF((IFERROR(INDEX($E$12:$E$21,MATCH(($A237+4),$E$12:$E$21,1)+1),INDEX($E$12:$E$21,MATCH(($A237+4),$E$12:$E$21,1))+1)-INDEX($E$12:$E$21,MATCH(($A237+4),$E$12:$E$21,1)))=0,1,IFERROR(INDEX($E$12:$E$21,MATCH(($A237+4),$E$12:$E$21,1)+1),INDEX($E$12:$E$21,MATCH(($A237+4),$E$12:$E$21,1))+1)-INDEX($E$12:$E$21,MATCH(($A237+4),$E$12:$E$21,1)))),$F$12))</f>
        <v/>
      </c>
      <c r="G237" s="30" t="str">
        <f>IF(($A237+5)&gt;$B$11, "", IFERROR((INDEX($F$12:$F$21,MATCH(($A237+5),$E$12:$E$21,1))+(($A237+5)-INDEX($E$12:$E$21,MATCH(($A237+5),$E$12:$E$21,1)))*(IFERROR(INDEX($F$12:$F$21,MATCH(($A237+5),$E$12:$E$21,1)+1),INDEX($F$12:$F$21,MATCH(($A237+5),$E$12:$E$21,1)))-INDEX($F$12:$F$21,MATCH(($A237+5),$E$12:$E$21,1)))/IF((IFERROR(INDEX($E$12:$E$21,MATCH(($A237+5),$E$12:$E$21,1)+1),INDEX($E$12:$E$21,MATCH(($A237+5),$E$12:$E$21,1))+1)-INDEX($E$12:$E$21,MATCH(($A237+5),$E$12:$E$21,1)))=0,1,IFERROR(INDEX($E$12:$E$21,MATCH(($A237+5),$E$12:$E$21,1)+1),INDEX($E$12:$E$21,MATCH(($A237+5),$E$12:$E$21,1))+1)-INDEX($E$12:$E$21,MATCH(($A237+5),$E$12:$E$21,1)))),$F$12))</f>
        <v/>
      </c>
      <c r="H237" s="30" t="str">
        <f>IF(($A237+6)&gt;$B$11, "", IFERROR((INDEX($F$12:$F$21,MATCH(($A237+6),$E$12:$E$21,1))+(($A237+6)-INDEX($E$12:$E$21,MATCH(($A237+6),$E$12:$E$21,1)))*(IFERROR(INDEX($F$12:$F$21,MATCH(($A237+6),$E$12:$E$21,1)+1),INDEX($F$12:$F$21,MATCH(($A237+6),$E$12:$E$21,1)))-INDEX($F$12:$F$21,MATCH(($A237+6),$E$12:$E$21,1)))/IF((IFERROR(INDEX($E$12:$E$21,MATCH(($A237+6),$E$12:$E$21,1)+1),INDEX($E$12:$E$21,MATCH(($A237+6),$E$12:$E$21,1))+1)-INDEX($E$12:$E$21,MATCH(($A237+6),$E$12:$E$21,1)))=0,1,IFERROR(INDEX($E$12:$E$21,MATCH(($A237+6),$E$12:$E$21,1)+1),INDEX($E$12:$E$21,MATCH(($A237+6),$E$12:$E$21,1))+1)-INDEX($E$12:$E$21,MATCH(($A237+6),$E$12:$E$21,1)))),$F$12))</f>
        <v/>
      </c>
      <c r="I237" s="30" t="str">
        <f>IF(($A237+7)&gt;$B$11, "", IFERROR((INDEX($F$12:$F$21,MATCH(($A237+7),$E$12:$E$21,1))+(($A237+7)-INDEX($E$12:$E$21,MATCH(($A237+7),$E$12:$E$21,1)))*(IFERROR(INDEX($F$12:$F$21,MATCH(($A237+7),$E$12:$E$21,1)+1),INDEX($F$12:$F$21,MATCH(($A237+7),$E$12:$E$21,1)))-INDEX($F$12:$F$21,MATCH(($A237+7),$E$12:$E$21,1)))/IF((IFERROR(INDEX($E$12:$E$21,MATCH(($A237+7),$E$12:$E$21,1)+1),INDEX($E$12:$E$21,MATCH(($A237+7),$E$12:$E$21,1))+1)-INDEX($E$12:$E$21,MATCH(($A237+7),$E$12:$E$21,1)))=0,1,IFERROR(INDEX($E$12:$E$21,MATCH(($A237+7),$E$12:$E$21,1)+1),INDEX($E$12:$E$21,MATCH(($A237+7),$E$12:$E$21,1))+1)-INDEX($E$12:$E$21,MATCH(($A237+7),$E$12:$E$21,1)))),$F$12))</f>
        <v/>
      </c>
      <c r="J237" s="30" t="str">
        <f>IF(($A237+8)&gt;$B$11, "", IFERROR((INDEX($F$12:$F$21,MATCH(($A237+8),$E$12:$E$21,1))+(($A237+8)-INDEX($E$12:$E$21,MATCH(($A237+8),$E$12:$E$21,1)))*(IFERROR(INDEX($F$12:$F$21,MATCH(($A237+8),$E$12:$E$21,1)+1),INDEX($F$12:$F$21,MATCH(($A237+8),$E$12:$E$21,1)))-INDEX($F$12:$F$21,MATCH(($A237+8),$E$12:$E$21,1)))/IF((IFERROR(INDEX($E$12:$E$21,MATCH(($A237+8),$E$12:$E$21,1)+1),INDEX($E$12:$E$21,MATCH(($A237+8),$E$12:$E$21,1))+1)-INDEX($E$12:$E$21,MATCH(($A237+8),$E$12:$E$21,1)))=0,1,IFERROR(INDEX($E$12:$E$21,MATCH(($A237+8),$E$12:$E$21,1)+1),INDEX($E$12:$E$21,MATCH(($A237+8),$E$12:$E$21,1))+1)-INDEX($E$12:$E$21,MATCH(($A237+8),$E$12:$E$21,1)))),$F$12))</f>
        <v/>
      </c>
      <c r="K237" s="30" t="str">
        <f>IF(($A237+9)&gt;$B$11, "", IFERROR((INDEX($F$12:$F$21,MATCH(($A237+9),$E$12:$E$21,1))+(($A237+9)-INDEX($E$12:$E$21,MATCH(($A237+9),$E$12:$E$21,1)))*(IFERROR(INDEX($F$12:$F$21,MATCH(($A237+9),$E$12:$E$21,1)+1),INDEX($F$12:$F$21,MATCH(($A237+9),$E$12:$E$21,1)))-INDEX($F$12:$F$21,MATCH(($A237+9),$E$12:$E$21,1)))/IF((IFERROR(INDEX($E$12:$E$21,MATCH(($A237+9),$E$12:$E$21,1)+1),INDEX($E$12:$E$21,MATCH(($A237+9),$E$12:$E$21,1))+1)-INDEX($E$12:$E$21,MATCH(($A237+9),$E$12:$E$21,1)))=0,1,IFERROR(INDEX($E$12:$E$21,MATCH(($A237+9),$E$12:$E$21,1)+1),INDEX($E$12:$E$21,MATCH(($A237+9),$E$12:$E$21,1))+1)-INDEX($E$12:$E$21,MATCH(($A237+9),$E$12:$E$21,1)))),$F$12))</f>
        <v/>
      </c>
    </row>
    <row r="238">
      <c r="A238" s="11">
        <v>400</v>
      </c>
      <c r="B238" s="30" t="str">
        <f>IF(($A238+0)&gt;$B$11, "", IFERROR((INDEX($F$12:$F$21,MATCH(($A238+0),$E$12:$E$21,1))+(($A238+0)-INDEX($E$12:$E$21,MATCH(($A238+0),$E$12:$E$21,1)))*(IFERROR(INDEX($F$12:$F$21,MATCH(($A238+0),$E$12:$E$21,1)+1),INDEX($F$12:$F$21,MATCH(($A238+0),$E$12:$E$21,1)))-INDEX($F$12:$F$21,MATCH(($A238+0),$E$12:$E$21,1)))/IF((IFERROR(INDEX($E$12:$E$21,MATCH(($A238+0),$E$12:$E$21,1)+1),INDEX($E$12:$E$21,MATCH(($A238+0),$E$12:$E$21,1))+1)-INDEX($E$12:$E$21,MATCH(($A238+0),$E$12:$E$21,1)))=0,1,IFERROR(INDEX($E$12:$E$21,MATCH(($A238+0),$E$12:$E$21,1)+1),INDEX($E$12:$E$21,MATCH(($A238+0),$E$12:$E$21,1))+1)-INDEX($E$12:$E$21,MATCH(($A238+0),$E$12:$E$21,1)))),$F$12))</f>
        <v/>
      </c>
      <c r="C238" s="30" t="str">
        <f>IF(($A238+1)&gt;$B$11, "", IFERROR((INDEX($F$12:$F$21,MATCH(($A238+1),$E$12:$E$21,1))+(($A238+1)-INDEX($E$12:$E$21,MATCH(($A238+1),$E$12:$E$21,1)))*(IFERROR(INDEX($F$12:$F$21,MATCH(($A238+1),$E$12:$E$21,1)+1),INDEX($F$12:$F$21,MATCH(($A238+1),$E$12:$E$21,1)))-INDEX($F$12:$F$21,MATCH(($A238+1),$E$12:$E$21,1)))/IF((IFERROR(INDEX($E$12:$E$21,MATCH(($A238+1),$E$12:$E$21,1)+1),INDEX($E$12:$E$21,MATCH(($A238+1),$E$12:$E$21,1))+1)-INDEX($E$12:$E$21,MATCH(($A238+1),$E$12:$E$21,1)))=0,1,IFERROR(INDEX($E$12:$E$21,MATCH(($A238+1),$E$12:$E$21,1)+1),INDEX($E$12:$E$21,MATCH(($A238+1),$E$12:$E$21,1))+1)-INDEX($E$12:$E$21,MATCH(($A238+1),$E$12:$E$21,1)))),$F$12))</f>
        <v/>
      </c>
      <c r="D238" s="30" t="str">
        <f>IF(($A238+2)&gt;$B$11, "", IFERROR((INDEX($F$12:$F$21,MATCH(($A238+2),$E$12:$E$21,1))+(($A238+2)-INDEX($E$12:$E$21,MATCH(($A238+2),$E$12:$E$21,1)))*(IFERROR(INDEX($F$12:$F$21,MATCH(($A238+2),$E$12:$E$21,1)+1),INDEX($F$12:$F$21,MATCH(($A238+2),$E$12:$E$21,1)))-INDEX($F$12:$F$21,MATCH(($A238+2),$E$12:$E$21,1)))/IF((IFERROR(INDEX($E$12:$E$21,MATCH(($A238+2),$E$12:$E$21,1)+1),INDEX($E$12:$E$21,MATCH(($A238+2),$E$12:$E$21,1))+1)-INDEX($E$12:$E$21,MATCH(($A238+2),$E$12:$E$21,1)))=0,1,IFERROR(INDEX($E$12:$E$21,MATCH(($A238+2),$E$12:$E$21,1)+1),INDEX($E$12:$E$21,MATCH(($A238+2),$E$12:$E$21,1))+1)-INDEX($E$12:$E$21,MATCH(($A238+2),$E$12:$E$21,1)))),$F$12))</f>
        <v/>
      </c>
      <c r="E238" s="30" t="str">
        <f>IF(($A238+3)&gt;$B$11, "", IFERROR((INDEX($F$12:$F$21,MATCH(($A238+3),$E$12:$E$21,1))+(($A238+3)-INDEX($E$12:$E$21,MATCH(($A238+3),$E$12:$E$21,1)))*(IFERROR(INDEX($F$12:$F$21,MATCH(($A238+3),$E$12:$E$21,1)+1),INDEX($F$12:$F$21,MATCH(($A238+3),$E$12:$E$21,1)))-INDEX($F$12:$F$21,MATCH(($A238+3),$E$12:$E$21,1)))/IF((IFERROR(INDEX($E$12:$E$21,MATCH(($A238+3),$E$12:$E$21,1)+1),INDEX($E$12:$E$21,MATCH(($A238+3),$E$12:$E$21,1))+1)-INDEX($E$12:$E$21,MATCH(($A238+3),$E$12:$E$21,1)))=0,1,IFERROR(INDEX($E$12:$E$21,MATCH(($A238+3),$E$12:$E$21,1)+1),INDEX($E$12:$E$21,MATCH(($A238+3),$E$12:$E$21,1))+1)-INDEX($E$12:$E$21,MATCH(($A238+3),$E$12:$E$21,1)))),$F$12))</f>
        <v/>
      </c>
      <c r="F238" s="30" t="str">
        <f>IF(($A238+4)&gt;$B$11, "", IFERROR((INDEX($F$12:$F$21,MATCH(($A238+4),$E$12:$E$21,1))+(($A238+4)-INDEX($E$12:$E$21,MATCH(($A238+4),$E$12:$E$21,1)))*(IFERROR(INDEX($F$12:$F$21,MATCH(($A238+4),$E$12:$E$21,1)+1),INDEX($F$12:$F$21,MATCH(($A238+4),$E$12:$E$21,1)))-INDEX($F$12:$F$21,MATCH(($A238+4),$E$12:$E$21,1)))/IF((IFERROR(INDEX($E$12:$E$21,MATCH(($A238+4),$E$12:$E$21,1)+1),INDEX($E$12:$E$21,MATCH(($A238+4),$E$12:$E$21,1))+1)-INDEX($E$12:$E$21,MATCH(($A238+4),$E$12:$E$21,1)))=0,1,IFERROR(INDEX($E$12:$E$21,MATCH(($A238+4),$E$12:$E$21,1)+1),INDEX($E$12:$E$21,MATCH(($A238+4),$E$12:$E$21,1))+1)-INDEX($E$12:$E$21,MATCH(($A238+4),$E$12:$E$21,1)))),$F$12))</f>
        <v/>
      </c>
      <c r="G238" s="30" t="str">
        <f>IF(($A238+5)&gt;$B$11, "", IFERROR((INDEX($F$12:$F$21,MATCH(($A238+5),$E$12:$E$21,1))+(($A238+5)-INDEX($E$12:$E$21,MATCH(($A238+5),$E$12:$E$21,1)))*(IFERROR(INDEX($F$12:$F$21,MATCH(($A238+5),$E$12:$E$21,1)+1),INDEX($F$12:$F$21,MATCH(($A238+5),$E$12:$E$21,1)))-INDEX($F$12:$F$21,MATCH(($A238+5),$E$12:$E$21,1)))/IF((IFERROR(INDEX($E$12:$E$21,MATCH(($A238+5),$E$12:$E$21,1)+1),INDEX($E$12:$E$21,MATCH(($A238+5),$E$12:$E$21,1))+1)-INDEX($E$12:$E$21,MATCH(($A238+5),$E$12:$E$21,1)))=0,1,IFERROR(INDEX($E$12:$E$21,MATCH(($A238+5),$E$12:$E$21,1)+1),INDEX($E$12:$E$21,MATCH(($A238+5),$E$12:$E$21,1))+1)-INDEX($E$12:$E$21,MATCH(($A238+5),$E$12:$E$21,1)))),$F$12))</f>
        <v/>
      </c>
      <c r="H238" s="30" t="str">
        <f>IF(($A238+6)&gt;$B$11, "", IFERROR((INDEX($F$12:$F$21,MATCH(($A238+6),$E$12:$E$21,1))+(($A238+6)-INDEX($E$12:$E$21,MATCH(($A238+6),$E$12:$E$21,1)))*(IFERROR(INDEX($F$12:$F$21,MATCH(($A238+6),$E$12:$E$21,1)+1),INDEX($F$12:$F$21,MATCH(($A238+6),$E$12:$E$21,1)))-INDEX($F$12:$F$21,MATCH(($A238+6),$E$12:$E$21,1)))/IF((IFERROR(INDEX($E$12:$E$21,MATCH(($A238+6),$E$12:$E$21,1)+1),INDEX($E$12:$E$21,MATCH(($A238+6),$E$12:$E$21,1))+1)-INDEX($E$12:$E$21,MATCH(($A238+6),$E$12:$E$21,1)))=0,1,IFERROR(INDEX($E$12:$E$21,MATCH(($A238+6),$E$12:$E$21,1)+1),INDEX($E$12:$E$21,MATCH(($A238+6),$E$12:$E$21,1))+1)-INDEX($E$12:$E$21,MATCH(($A238+6),$E$12:$E$21,1)))),$F$12))</f>
        <v/>
      </c>
      <c r="I238" s="30" t="str">
        <f>IF(($A238+7)&gt;$B$11, "", IFERROR((INDEX($F$12:$F$21,MATCH(($A238+7),$E$12:$E$21,1))+(($A238+7)-INDEX($E$12:$E$21,MATCH(($A238+7),$E$12:$E$21,1)))*(IFERROR(INDEX($F$12:$F$21,MATCH(($A238+7),$E$12:$E$21,1)+1),INDEX($F$12:$F$21,MATCH(($A238+7),$E$12:$E$21,1)))-INDEX($F$12:$F$21,MATCH(($A238+7),$E$12:$E$21,1)))/IF((IFERROR(INDEX($E$12:$E$21,MATCH(($A238+7),$E$12:$E$21,1)+1),INDEX($E$12:$E$21,MATCH(($A238+7),$E$12:$E$21,1))+1)-INDEX($E$12:$E$21,MATCH(($A238+7),$E$12:$E$21,1)))=0,1,IFERROR(INDEX($E$12:$E$21,MATCH(($A238+7),$E$12:$E$21,1)+1),INDEX($E$12:$E$21,MATCH(($A238+7),$E$12:$E$21,1))+1)-INDEX($E$12:$E$21,MATCH(($A238+7),$E$12:$E$21,1)))),$F$12))</f>
        <v/>
      </c>
      <c r="J238" s="30" t="str">
        <f>IF(($A238+8)&gt;$B$11, "", IFERROR((INDEX($F$12:$F$21,MATCH(($A238+8),$E$12:$E$21,1))+(($A238+8)-INDEX($E$12:$E$21,MATCH(($A238+8),$E$12:$E$21,1)))*(IFERROR(INDEX($F$12:$F$21,MATCH(($A238+8),$E$12:$E$21,1)+1),INDEX($F$12:$F$21,MATCH(($A238+8),$E$12:$E$21,1)))-INDEX($F$12:$F$21,MATCH(($A238+8),$E$12:$E$21,1)))/IF((IFERROR(INDEX($E$12:$E$21,MATCH(($A238+8),$E$12:$E$21,1)+1),INDEX($E$12:$E$21,MATCH(($A238+8),$E$12:$E$21,1))+1)-INDEX($E$12:$E$21,MATCH(($A238+8),$E$12:$E$21,1)))=0,1,IFERROR(INDEX($E$12:$E$21,MATCH(($A238+8),$E$12:$E$21,1)+1),INDEX($E$12:$E$21,MATCH(($A238+8),$E$12:$E$21,1))+1)-INDEX($E$12:$E$21,MATCH(($A238+8),$E$12:$E$21,1)))),$F$12))</f>
        <v/>
      </c>
      <c r="K238" s="30" t="str">
        <f>IF(($A238+9)&gt;$B$11, "", IFERROR((INDEX($F$12:$F$21,MATCH(($A238+9),$E$12:$E$21,1))+(($A238+9)-INDEX($E$12:$E$21,MATCH(($A238+9),$E$12:$E$21,1)))*(IFERROR(INDEX($F$12:$F$21,MATCH(($A238+9),$E$12:$E$21,1)+1),INDEX($F$12:$F$21,MATCH(($A238+9),$E$12:$E$21,1)))-INDEX($F$12:$F$21,MATCH(($A238+9),$E$12:$E$21,1)))/IF((IFERROR(INDEX($E$12:$E$21,MATCH(($A238+9),$E$12:$E$21,1)+1),INDEX($E$12:$E$21,MATCH(($A238+9),$E$12:$E$21,1))+1)-INDEX($E$12:$E$21,MATCH(($A238+9),$E$12:$E$21,1)))=0,1,IFERROR(INDEX($E$12:$E$21,MATCH(($A238+9),$E$12:$E$21,1)+1),INDEX($E$12:$E$21,MATCH(($A238+9),$E$12:$E$21,1))+1)-INDEX($E$12:$E$21,MATCH(($A238+9),$E$12:$E$21,1)))),$F$12))</f>
        <v/>
      </c>
    </row>
    <row r="239">
      <c r="A239" s="11">
        <v>410</v>
      </c>
      <c r="B239" s="30" t="str">
        <f>IF(($A239+0)&gt;$B$11, "", IFERROR((INDEX($F$12:$F$21,MATCH(($A239+0),$E$12:$E$21,1))+(($A239+0)-INDEX($E$12:$E$21,MATCH(($A239+0),$E$12:$E$21,1)))*(IFERROR(INDEX($F$12:$F$21,MATCH(($A239+0),$E$12:$E$21,1)+1),INDEX($F$12:$F$21,MATCH(($A239+0),$E$12:$E$21,1)))-INDEX($F$12:$F$21,MATCH(($A239+0),$E$12:$E$21,1)))/IF((IFERROR(INDEX($E$12:$E$21,MATCH(($A239+0),$E$12:$E$21,1)+1),INDEX($E$12:$E$21,MATCH(($A239+0),$E$12:$E$21,1))+1)-INDEX($E$12:$E$21,MATCH(($A239+0),$E$12:$E$21,1)))=0,1,IFERROR(INDEX($E$12:$E$21,MATCH(($A239+0),$E$12:$E$21,1)+1),INDEX($E$12:$E$21,MATCH(($A239+0),$E$12:$E$21,1))+1)-INDEX($E$12:$E$21,MATCH(($A239+0),$E$12:$E$21,1)))),$F$12))</f>
        <v/>
      </c>
      <c r="C239" s="30" t="str">
        <f>IF(($A239+1)&gt;$B$11, "", IFERROR((INDEX($F$12:$F$21,MATCH(($A239+1),$E$12:$E$21,1))+(($A239+1)-INDEX($E$12:$E$21,MATCH(($A239+1),$E$12:$E$21,1)))*(IFERROR(INDEX($F$12:$F$21,MATCH(($A239+1),$E$12:$E$21,1)+1),INDEX($F$12:$F$21,MATCH(($A239+1),$E$12:$E$21,1)))-INDEX($F$12:$F$21,MATCH(($A239+1),$E$12:$E$21,1)))/IF((IFERROR(INDEX($E$12:$E$21,MATCH(($A239+1),$E$12:$E$21,1)+1),INDEX($E$12:$E$21,MATCH(($A239+1),$E$12:$E$21,1))+1)-INDEX($E$12:$E$21,MATCH(($A239+1),$E$12:$E$21,1)))=0,1,IFERROR(INDEX($E$12:$E$21,MATCH(($A239+1),$E$12:$E$21,1)+1),INDEX($E$12:$E$21,MATCH(($A239+1),$E$12:$E$21,1))+1)-INDEX($E$12:$E$21,MATCH(($A239+1),$E$12:$E$21,1)))),$F$12))</f>
        <v/>
      </c>
      <c r="D239" s="30" t="str">
        <f>IF(($A239+2)&gt;$B$11, "", IFERROR((INDEX($F$12:$F$21,MATCH(($A239+2),$E$12:$E$21,1))+(($A239+2)-INDEX($E$12:$E$21,MATCH(($A239+2),$E$12:$E$21,1)))*(IFERROR(INDEX($F$12:$F$21,MATCH(($A239+2),$E$12:$E$21,1)+1),INDEX($F$12:$F$21,MATCH(($A239+2),$E$12:$E$21,1)))-INDEX($F$12:$F$21,MATCH(($A239+2),$E$12:$E$21,1)))/IF((IFERROR(INDEX($E$12:$E$21,MATCH(($A239+2),$E$12:$E$21,1)+1),INDEX($E$12:$E$21,MATCH(($A239+2),$E$12:$E$21,1))+1)-INDEX($E$12:$E$21,MATCH(($A239+2),$E$12:$E$21,1)))=0,1,IFERROR(INDEX($E$12:$E$21,MATCH(($A239+2),$E$12:$E$21,1)+1),INDEX($E$12:$E$21,MATCH(($A239+2),$E$12:$E$21,1))+1)-INDEX($E$12:$E$21,MATCH(($A239+2),$E$12:$E$21,1)))),$F$12))</f>
        <v/>
      </c>
      <c r="E239" s="30" t="str">
        <f>IF(($A239+3)&gt;$B$11, "", IFERROR((INDEX($F$12:$F$21,MATCH(($A239+3),$E$12:$E$21,1))+(($A239+3)-INDEX($E$12:$E$21,MATCH(($A239+3),$E$12:$E$21,1)))*(IFERROR(INDEX($F$12:$F$21,MATCH(($A239+3),$E$12:$E$21,1)+1),INDEX($F$12:$F$21,MATCH(($A239+3),$E$12:$E$21,1)))-INDEX($F$12:$F$21,MATCH(($A239+3),$E$12:$E$21,1)))/IF((IFERROR(INDEX($E$12:$E$21,MATCH(($A239+3),$E$12:$E$21,1)+1),INDEX($E$12:$E$21,MATCH(($A239+3),$E$12:$E$21,1))+1)-INDEX($E$12:$E$21,MATCH(($A239+3),$E$12:$E$21,1)))=0,1,IFERROR(INDEX($E$12:$E$21,MATCH(($A239+3),$E$12:$E$21,1)+1),INDEX($E$12:$E$21,MATCH(($A239+3),$E$12:$E$21,1))+1)-INDEX($E$12:$E$21,MATCH(($A239+3),$E$12:$E$21,1)))),$F$12))</f>
        <v/>
      </c>
      <c r="F239" s="30" t="str">
        <f>IF(($A239+4)&gt;$B$11, "", IFERROR((INDEX($F$12:$F$21,MATCH(($A239+4),$E$12:$E$21,1))+(($A239+4)-INDEX($E$12:$E$21,MATCH(($A239+4),$E$12:$E$21,1)))*(IFERROR(INDEX($F$12:$F$21,MATCH(($A239+4),$E$12:$E$21,1)+1),INDEX($F$12:$F$21,MATCH(($A239+4),$E$12:$E$21,1)))-INDEX($F$12:$F$21,MATCH(($A239+4),$E$12:$E$21,1)))/IF((IFERROR(INDEX($E$12:$E$21,MATCH(($A239+4),$E$12:$E$21,1)+1),INDEX($E$12:$E$21,MATCH(($A239+4),$E$12:$E$21,1))+1)-INDEX($E$12:$E$21,MATCH(($A239+4),$E$12:$E$21,1)))=0,1,IFERROR(INDEX($E$12:$E$21,MATCH(($A239+4),$E$12:$E$21,1)+1),INDEX($E$12:$E$21,MATCH(($A239+4),$E$12:$E$21,1))+1)-INDEX($E$12:$E$21,MATCH(($A239+4),$E$12:$E$21,1)))),$F$12))</f>
        <v/>
      </c>
      <c r="G239" s="30" t="str">
        <f>IF(($A239+5)&gt;$B$11, "", IFERROR((INDEX($F$12:$F$21,MATCH(($A239+5),$E$12:$E$21,1))+(($A239+5)-INDEX($E$12:$E$21,MATCH(($A239+5),$E$12:$E$21,1)))*(IFERROR(INDEX($F$12:$F$21,MATCH(($A239+5),$E$12:$E$21,1)+1),INDEX($F$12:$F$21,MATCH(($A239+5),$E$12:$E$21,1)))-INDEX($F$12:$F$21,MATCH(($A239+5),$E$12:$E$21,1)))/IF((IFERROR(INDEX($E$12:$E$21,MATCH(($A239+5),$E$12:$E$21,1)+1),INDEX($E$12:$E$21,MATCH(($A239+5),$E$12:$E$21,1))+1)-INDEX($E$12:$E$21,MATCH(($A239+5),$E$12:$E$21,1)))=0,1,IFERROR(INDEX($E$12:$E$21,MATCH(($A239+5),$E$12:$E$21,1)+1),INDEX($E$12:$E$21,MATCH(($A239+5),$E$12:$E$21,1))+1)-INDEX($E$12:$E$21,MATCH(($A239+5),$E$12:$E$21,1)))),$F$12))</f>
        <v/>
      </c>
      <c r="H239" s="30" t="str">
        <f>IF(($A239+6)&gt;$B$11, "", IFERROR((INDEX($F$12:$F$21,MATCH(($A239+6),$E$12:$E$21,1))+(($A239+6)-INDEX($E$12:$E$21,MATCH(($A239+6),$E$12:$E$21,1)))*(IFERROR(INDEX($F$12:$F$21,MATCH(($A239+6),$E$12:$E$21,1)+1),INDEX($F$12:$F$21,MATCH(($A239+6),$E$12:$E$21,1)))-INDEX($F$12:$F$21,MATCH(($A239+6),$E$12:$E$21,1)))/IF((IFERROR(INDEX($E$12:$E$21,MATCH(($A239+6),$E$12:$E$21,1)+1),INDEX($E$12:$E$21,MATCH(($A239+6),$E$12:$E$21,1))+1)-INDEX($E$12:$E$21,MATCH(($A239+6),$E$12:$E$21,1)))=0,1,IFERROR(INDEX($E$12:$E$21,MATCH(($A239+6),$E$12:$E$21,1)+1),INDEX($E$12:$E$21,MATCH(($A239+6),$E$12:$E$21,1))+1)-INDEX($E$12:$E$21,MATCH(($A239+6),$E$12:$E$21,1)))),$F$12))</f>
        <v/>
      </c>
      <c r="I239" s="30" t="str">
        <f>IF(($A239+7)&gt;$B$11, "", IFERROR((INDEX($F$12:$F$21,MATCH(($A239+7),$E$12:$E$21,1))+(($A239+7)-INDEX($E$12:$E$21,MATCH(($A239+7),$E$12:$E$21,1)))*(IFERROR(INDEX($F$12:$F$21,MATCH(($A239+7),$E$12:$E$21,1)+1),INDEX($F$12:$F$21,MATCH(($A239+7),$E$12:$E$21,1)))-INDEX($F$12:$F$21,MATCH(($A239+7),$E$12:$E$21,1)))/IF((IFERROR(INDEX($E$12:$E$21,MATCH(($A239+7),$E$12:$E$21,1)+1),INDEX($E$12:$E$21,MATCH(($A239+7),$E$12:$E$21,1))+1)-INDEX($E$12:$E$21,MATCH(($A239+7),$E$12:$E$21,1)))=0,1,IFERROR(INDEX($E$12:$E$21,MATCH(($A239+7),$E$12:$E$21,1)+1),INDEX($E$12:$E$21,MATCH(($A239+7),$E$12:$E$21,1))+1)-INDEX($E$12:$E$21,MATCH(($A239+7),$E$12:$E$21,1)))),$F$12))</f>
        <v/>
      </c>
      <c r="J239" s="30" t="str">
        <f>IF(($A239+8)&gt;$B$11, "", IFERROR((INDEX($F$12:$F$21,MATCH(($A239+8),$E$12:$E$21,1))+(($A239+8)-INDEX($E$12:$E$21,MATCH(($A239+8),$E$12:$E$21,1)))*(IFERROR(INDEX($F$12:$F$21,MATCH(($A239+8),$E$12:$E$21,1)+1),INDEX($F$12:$F$21,MATCH(($A239+8),$E$12:$E$21,1)))-INDEX($F$12:$F$21,MATCH(($A239+8),$E$12:$E$21,1)))/IF((IFERROR(INDEX($E$12:$E$21,MATCH(($A239+8),$E$12:$E$21,1)+1),INDEX($E$12:$E$21,MATCH(($A239+8),$E$12:$E$21,1))+1)-INDEX($E$12:$E$21,MATCH(($A239+8),$E$12:$E$21,1)))=0,1,IFERROR(INDEX($E$12:$E$21,MATCH(($A239+8),$E$12:$E$21,1)+1),INDEX($E$12:$E$21,MATCH(($A239+8),$E$12:$E$21,1))+1)-INDEX($E$12:$E$21,MATCH(($A239+8),$E$12:$E$21,1)))),$F$12))</f>
        <v/>
      </c>
      <c r="K239" s="30" t="str">
        <f>IF(($A239+9)&gt;$B$11, "", IFERROR((INDEX($F$12:$F$21,MATCH(($A239+9),$E$12:$E$21,1))+(($A239+9)-INDEX($E$12:$E$21,MATCH(($A239+9),$E$12:$E$21,1)))*(IFERROR(INDEX($F$12:$F$21,MATCH(($A239+9),$E$12:$E$21,1)+1),INDEX($F$12:$F$21,MATCH(($A239+9),$E$12:$E$21,1)))-INDEX($F$12:$F$21,MATCH(($A239+9),$E$12:$E$21,1)))/IF((IFERROR(INDEX($E$12:$E$21,MATCH(($A239+9),$E$12:$E$21,1)+1),INDEX($E$12:$E$21,MATCH(($A239+9),$E$12:$E$21,1))+1)-INDEX($E$12:$E$21,MATCH(($A239+9),$E$12:$E$21,1)))=0,1,IFERROR(INDEX($E$12:$E$21,MATCH(($A239+9),$E$12:$E$21,1)+1),INDEX($E$12:$E$21,MATCH(($A239+9),$E$12:$E$21,1))+1)-INDEX($E$12:$E$21,MATCH(($A239+9),$E$12:$E$21,1)))),$F$12))</f>
        <v/>
      </c>
    </row>
    <row r="240">
      <c r="A240" s="11">
        <v>420</v>
      </c>
      <c r="B240" s="30" t="str">
        <f>IF(($A240+0)&gt;$B$11, "", IFERROR((INDEX($F$12:$F$21,MATCH(($A240+0),$E$12:$E$21,1))+(($A240+0)-INDEX($E$12:$E$21,MATCH(($A240+0),$E$12:$E$21,1)))*(IFERROR(INDEX($F$12:$F$21,MATCH(($A240+0),$E$12:$E$21,1)+1),INDEX($F$12:$F$21,MATCH(($A240+0),$E$12:$E$21,1)))-INDEX($F$12:$F$21,MATCH(($A240+0),$E$12:$E$21,1)))/IF((IFERROR(INDEX($E$12:$E$21,MATCH(($A240+0),$E$12:$E$21,1)+1),INDEX($E$12:$E$21,MATCH(($A240+0),$E$12:$E$21,1))+1)-INDEX($E$12:$E$21,MATCH(($A240+0),$E$12:$E$21,1)))=0,1,IFERROR(INDEX($E$12:$E$21,MATCH(($A240+0),$E$12:$E$21,1)+1),INDEX($E$12:$E$21,MATCH(($A240+0),$E$12:$E$21,1))+1)-INDEX($E$12:$E$21,MATCH(($A240+0),$E$12:$E$21,1)))),$F$12))</f>
        <v/>
      </c>
      <c r="C240" s="30" t="str">
        <f>IF(($A240+1)&gt;$B$11, "", IFERROR((INDEX($F$12:$F$21,MATCH(($A240+1),$E$12:$E$21,1))+(($A240+1)-INDEX($E$12:$E$21,MATCH(($A240+1),$E$12:$E$21,1)))*(IFERROR(INDEX($F$12:$F$21,MATCH(($A240+1),$E$12:$E$21,1)+1),INDEX($F$12:$F$21,MATCH(($A240+1),$E$12:$E$21,1)))-INDEX($F$12:$F$21,MATCH(($A240+1),$E$12:$E$21,1)))/IF((IFERROR(INDEX($E$12:$E$21,MATCH(($A240+1),$E$12:$E$21,1)+1),INDEX($E$12:$E$21,MATCH(($A240+1),$E$12:$E$21,1))+1)-INDEX($E$12:$E$21,MATCH(($A240+1),$E$12:$E$21,1)))=0,1,IFERROR(INDEX($E$12:$E$21,MATCH(($A240+1),$E$12:$E$21,1)+1),INDEX($E$12:$E$21,MATCH(($A240+1),$E$12:$E$21,1))+1)-INDEX($E$12:$E$21,MATCH(($A240+1),$E$12:$E$21,1)))),$F$12))</f>
        <v/>
      </c>
      <c r="D240" s="30" t="str">
        <f>IF(($A240+2)&gt;$B$11, "", IFERROR((INDEX($F$12:$F$21,MATCH(($A240+2),$E$12:$E$21,1))+(($A240+2)-INDEX($E$12:$E$21,MATCH(($A240+2),$E$12:$E$21,1)))*(IFERROR(INDEX($F$12:$F$21,MATCH(($A240+2),$E$12:$E$21,1)+1),INDEX($F$12:$F$21,MATCH(($A240+2),$E$12:$E$21,1)))-INDEX($F$12:$F$21,MATCH(($A240+2),$E$12:$E$21,1)))/IF((IFERROR(INDEX($E$12:$E$21,MATCH(($A240+2),$E$12:$E$21,1)+1),INDEX($E$12:$E$21,MATCH(($A240+2),$E$12:$E$21,1))+1)-INDEX($E$12:$E$21,MATCH(($A240+2),$E$12:$E$21,1)))=0,1,IFERROR(INDEX($E$12:$E$21,MATCH(($A240+2),$E$12:$E$21,1)+1),INDEX($E$12:$E$21,MATCH(($A240+2),$E$12:$E$21,1))+1)-INDEX($E$12:$E$21,MATCH(($A240+2),$E$12:$E$21,1)))),$F$12))</f>
        <v/>
      </c>
      <c r="E240" s="30" t="str">
        <f>IF(($A240+3)&gt;$B$11, "", IFERROR((INDEX($F$12:$F$21,MATCH(($A240+3),$E$12:$E$21,1))+(($A240+3)-INDEX($E$12:$E$21,MATCH(($A240+3),$E$12:$E$21,1)))*(IFERROR(INDEX($F$12:$F$21,MATCH(($A240+3),$E$12:$E$21,1)+1),INDEX($F$12:$F$21,MATCH(($A240+3),$E$12:$E$21,1)))-INDEX($F$12:$F$21,MATCH(($A240+3),$E$12:$E$21,1)))/IF((IFERROR(INDEX($E$12:$E$21,MATCH(($A240+3),$E$12:$E$21,1)+1),INDEX($E$12:$E$21,MATCH(($A240+3),$E$12:$E$21,1))+1)-INDEX($E$12:$E$21,MATCH(($A240+3),$E$12:$E$21,1)))=0,1,IFERROR(INDEX($E$12:$E$21,MATCH(($A240+3),$E$12:$E$21,1)+1),INDEX($E$12:$E$21,MATCH(($A240+3),$E$12:$E$21,1))+1)-INDEX($E$12:$E$21,MATCH(($A240+3),$E$12:$E$21,1)))),$F$12))</f>
        <v/>
      </c>
      <c r="F240" s="30" t="str">
        <f>IF(($A240+4)&gt;$B$11, "", IFERROR((INDEX($F$12:$F$21,MATCH(($A240+4),$E$12:$E$21,1))+(($A240+4)-INDEX($E$12:$E$21,MATCH(($A240+4),$E$12:$E$21,1)))*(IFERROR(INDEX($F$12:$F$21,MATCH(($A240+4),$E$12:$E$21,1)+1),INDEX($F$12:$F$21,MATCH(($A240+4),$E$12:$E$21,1)))-INDEX($F$12:$F$21,MATCH(($A240+4),$E$12:$E$21,1)))/IF((IFERROR(INDEX($E$12:$E$21,MATCH(($A240+4),$E$12:$E$21,1)+1),INDEX($E$12:$E$21,MATCH(($A240+4),$E$12:$E$21,1))+1)-INDEX($E$12:$E$21,MATCH(($A240+4),$E$12:$E$21,1)))=0,1,IFERROR(INDEX($E$12:$E$21,MATCH(($A240+4),$E$12:$E$21,1)+1),INDEX($E$12:$E$21,MATCH(($A240+4),$E$12:$E$21,1))+1)-INDEX($E$12:$E$21,MATCH(($A240+4),$E$12:$E$21,1)))),$F$12))</f>
        <v/>
      </c>
      <c r="G240" s="30" t="str">
        <f>IF(($A240+5)&gt;$B$11, "", IFERROR((INDEX($F$12:$F$21,MATCH(($A240+5),$E$12:$E$21,1))+(($A240+5)-INDEX($E$12:$E$21,MATCH(($A240+5),$E$12:$E$21,1)))*(IFERROR(INDEX($F$12:$F$21,MATCH(($A240+5),$E$12:$E$21,1)+1),INDEX($F$12:$F$21,MATCH(($A240+5),$E$12:$E$21,1)))-INDEX($F$12:$F$21,MATCH(($A240+5),$E$12:$E$21,1)))/IF((IFERROR(INDEX($E$12:$E$21,MATCH(($A240+5),$E$12:$E$21,1)+1),INDEX($E$12:$E$21,MATCH(($A240+5),$E$12:$E$21,1))+1)-INDEX($E$12:$E$21,MATCH(($A240+5),$E$12:$E$21,1)))=0,1,IFERROR(INDEX($E$12:$E$21,MATCH(($A240+5),$E$12:$E$21,1)+1),INDEX($E$12:$E$21,MATCH(($A240+5),$E$12:$E$21,1))+1)-INDEX($E$12:$E$21,MATCH(($A240+5),$E$12:$E$21,1)))),$F$12))</f>
        <v/>
      </c>
      <c r="H240" s="30" t="str">
        <f>IF(($A240+6)&gt;$B$11, "", IFERROR((INDEX($F$12:$F$21,MATCH(($A240+6),$E$12:$E$21,1))+(($A240+6)-INDEX($E$12:$E$21,MATCH(($A240+6),$E$12:$E$21,1)))*(IFERROR(INDEX($F$12:$F$21,MATCH(($A240+6),$E$12:$E$21,1)+1),INDEX($F$12:$F$21,MATCH(($A240+6),$E$12:$E$21,1)))-INDEX($F$12:$F$21,MATCH(($A240+6),$E$12:$E$21,1)))/IF((IFERROR(INDEX($E$12:$E$21,MATCH(($A240+6),$E$12:$E$21,1)+1),INDEX($E$12:$E$21,MATCH(($A240+6),$E$12:$E$21,1))+1)-INDEX($E$12:$E$21,MATCH(($A240+6),$E$12:$E$21,1)))=0,1,IFERROR(INDEX($E$12:$E$21,MATCH(($A240+6),$E$12:$E$21,1)+1),INDEX($E$12:$E$21,MATCH(($A240+6),$E$12:$E$21,1))+1)-INDEX($E$12:$E$21,MATCH(($A240+6),$E$12:$E$21,1)))),$F$12))</f>
        <v/>
      </c>
      <c r="I240" s="30" t="str">
        <f>IF(($A240+7)&gt;$B$11, "", IFERROR((INDEX($F$12:$F$21,MATCH(($A240+7),$E$12:$E$21,1))+(($A240+7)-INDEX($E$12:$E$21,MATCH(($A240+7),$E$12:$E$21,1)))*(IFERROR(INDEX($F$12:$F$21,MATCH(($A240+7),$E$12:$E$21,1)+1),INDEX($F$12:$F$21,MATCH(($A240+7),$E$12:$E$21,1)))-INDEX($F$12:$F$21,MATCH(($A240+7),$E$12:$E$21,1)))/IF((IFERROR(INDEX($E$12:$E$21,MATCH(($A240+7),$E$12:$E$21,1)+1),INDEX($E$12:$E$21,MATCH(($A240+7),$E$12:$E$21,1))+1)-INDEX($E$12:$E$21,MATCH(($A240+7),$E$12:$E$21,1)))=0,1,IFERROR(INDEX($E$12:$E$21,MATCH(($A240+7),$E$12:$E$21,1)+1),INDEX($E$12:$E$21,MATCH(($A240+7),$E$12:$E$21,1))+1)-INDEX($E$12:$E$21,MATCH(($A240+7),$E$12:$E$21,1)))),$F$12))</f>
        <v/>
      </c>
      <c r="J240" s="30" t="str">
        <f>IF(($A240+8)&gt;$B$11, "", IFERROR((INDEX($F$12:$F$21,MATCH(($A240+8),$E$12:$E$21,1))+(($A240+8)-INDEX($E$12:$E$21,MATCH(($A240+8),$E$12:$E$21,1)))*(IFERROR(INDEX($F$12:$F$21,MATCH(($A240+8),$E$12:$E$21,1)+1),INDEX($F$12:$F$21,MATCH(($A240+8),$E$12:$E$21,1)))-INDEX($F$12:$F$21,MATCH(($A240+8),$E$12:$E$21,1)))/IF((IFERROR(INDEX($E$12:$E$21,MATCH(($A240+8),$E$12:$E$21,1)+1),INDEX($E$12:$E$21,MATCH(($A240+8),$E$12:$E$21,1))+1)-INDEX($E$12:$E$21,MATCH(($A240+8),$E$12:$E$21,1)))=0,1,IFERROR(INDEX($E$12:$E$21,MATCH(($A240+8),$E$12:$E$21,1)+1),INDEX($E$12:$E$21,MATCH(($A240+8),$E$12:$E$21,1))+1)-INDEX($E$12:$E$21,MATCH(($A240+8),$E$12:$E$21,1)))),$F$12))</f>
        <v/>
      </c>
      <c r="K240" s="30" t="str">
        <f>IF(($A240+9)&gt;$B$11, "", IFERROR((INDEX($F$12:$F$21,MATCH(($A240+9),$E$12:$E$21,1))+(($A240+9)-INDEX($E$12:$E$21,MATCH(($A240+9),$E$12:$E$21,1)))*(IFERROR(INDEX($F$12:$F$21,MATCH(($A240+9),$E$12:$E$21,1)+1),INDEX($F$12:$F$21,MATCH(($A240+9),$E$12:$E$21,1)))-INDEX($F$12:$F$21,MATCH(($A240+9),$E$12:$E$21,1)))/IF((IFERROR(INDEX($E$12:$E$21,MATCH(($A240+9),$E$12:$E$21,1)+1),INDEX($E$12:$E$21,MATCH(($A240+9),$E$12:$E$21,1))+1)-INDEX($E$12:$E$21,MATCH(($A240+9),$E$12:$E$21,1)))=0,1,IFERROR(INDEX($E$12:$E$21,MATCH(($A240+9),$E$12:$E$21,1)+1),INDEX($E$12:$E$21,MATCH(($A240+9),$E$12:$E$21,1))+1)-INDEX($E$12:$E$21,MATCH(($A240+9),$E$12:$E$21,1)))),$F$12))</f>
        <v/>
      </c>
    </row>
    <row r="241">
      <c r="A241" s="11">
        <v>430</v>
      </c>
      <c r="B241" s="30" t="str">
        <f>IF(($A241+0)&gt;$B$11, "", IFERROR((INDEX($F$12:$F$21,MATCH(($A241+0),$E$12:$E$21,1))+(($A241+0)-INDEX($E$12:$E$21,MATCH(($A241+0),$E$12:$E$21,1)))*(IFERROR(INDEX($F$12:$F$21,MATCH(($A241+0),$E$12:$E$21,1)+1),INDEX($F$12:$F$21,MATCH(($A241+0),$E$12:$E$21,1)))-INDEX($F$12:$F$21,MATCH(($A241+0),$E$12:$E$21,1)))/IF((IFERROR(INDEX($E$12:$E$21,MATCH(($A241+0),$E$12:$E$21,1)+1),INDEX($E$12:$E$21,MATCH(($A241+0),$E$12:$E$21,1))+1)-INDEX($E$12:$E$21,MATCH(($A241+0),$E$12:$E$21,1)))=0,1,IFERROR(INDEX($E$12:$E$21,MATCH(($A241+0),$E$12:$E$21,1)+1),INDEX($E$12:$E$21,MATCH(($A241+0),$E$12:$E$21,1))+1)-INDEX($E$12:$E$21,MATCH(($A241+0),$E$12:$E$21,1)))),$F$12))</f>
        <v/>
      </c>
      <c r="C241" s="30" t="str">
        <f>IF(($A241+1)&gt;$B$11, "", IFERROR((INDEX($F$12:$F$21,MATCH(($A241+1),$E$12:$E$21,1))+(($A241+1)-INDEX($E$12:$E$21,MATCH(($A241+1),$E$12:$E$21,1)))*(IFERROR(INDEX($F$12:$F$21,MATCH(($A241+1),$E$12:$E$21,1)+1),INDEX($F$12:$F$21,MATCH(($A241+1),$E$12:$E$21,1)))-INDEX($F$12:$F$21,MATCH(($A241+1),$E$12:$E$21,1)))/IF((IFERROR(INDEX($E$12:$E$21,MATCH(($A241+1),$E$12:$E$21,1)+1),INDEX($E$12:$E$21,MATCH(($A241+1),$E$12:$E$21,1))+1)-INDEX($E$12:$E$21,MATCH(($A241+1),$E$12:$E$21,1)))=0,1,IFERROR(INDEX($E$12:$E$21,MATCH(($A241+1),$E$12:$E$21,1)+1),INDEX($E$12:$E$21,MATCH(($A241+1),$E$12:$E$21,1))+1)-INDEX($E$12:$E$21,MATCH(($A241+1),$E$12:$E$21,1)))),$F$12))</f>
        <v/>
      </c>
      <c r="D241" s="30" t="str">
        <f>IF(($A241+2)&gt;$B$11, "", IFERROR((INDEX($F$12:$F$21,MATCH(($A241+2),$E$12:$E$21,1))+(($A241+2)-INDEX($E$12:$E$21,MATCH(($A241+2),$E$12:$E$21,1)))*(IFERROR(INDEX($F$12:$F$21,MATCH(($A241+2),$E$12:$E$21,1)+1),INDEX($F$12:$F$21,MATCH(($A241+2),$E$12:$E$21,1)))-INDEX($F$12:$F$21,MATCH(($A241+2),$E$12:$E$21,1)))/IF((IFERROR(INDEX($E$12:$E$21,MATCH(($A241+2),$E$12:$E$21,1)+1),INDEX($E$12:$E$21,MATCH(($A241+2),$E$12:$E$21,1))+1)-INDEX($E$12:$E$21,MATCH(($A241+2),$E$12:$E$21,1)))=0,1,IFERROR(INDEX($E$12:$E$21,MATCH(($A241+2),$E$12:$E$21,1)+1),INDEX($E$12:$E$21,MATCH(($A241+2),$E$12:$E$21,1))+1)-INDEX($E$12:$E$21,MATCH(($A241+2),$E$12:$E$21,1)))),$F$12))</f>
        <v/>
      </c>
      <c r="E241" s="30" t="str">
        <f>IF(($A241+3)&gt;$B$11, "", IFERROR((INDEX($F$12:$F$21,MATCH(($A241+3),$E$12:$E$21,1))+(($A241+3)-INDEX($E$12:$E$21,MATCH(($A241+3),$E$12:$E$21,1)))*(IFERROR(INDEX($F$12:$F$21,MATCH(($A241+3),$E$12:$E$21,1)+1),INDEX($F$12:$F$21,MATCH(($A241+3),$E$12:$E$21,1)))-INDEX($F$12:$F$21,MATCH(($A241+3),$E$12:$E$21,1)))/IF((IFERROR(INDEX($E$12:$E$21,MATCH(($A241+3),$E$12:$E$21,1)+1),INDEX($E$12:$E$21,MATCH(($A241+3),$E$12:$E$21,1))+1)-INDEX($E$12:$E$21,MATCH(($A241+3),$E$12:$E$21,1)))=0,1,IFERROR(INDEX($E$12:$E$21,MATCH(($A241+3),$E$12:$E$21,1)+1),INDEX($E$12:$E$21,MATCH(($A241+3),$E$12:$E$21,1))+1)-INDEX($E$12:$E$21,MATCH(($A241+3),$E$12:$E$21,1)))),$F$12))</f>
        <v/>
      </c>
      <c r="F241" s="30" t="str">
        <f>IF(($A241+4)&gt;$B$11, "", IFERROR((INDEX($F$12:$F$21,MATCH(($A241+4),$E$12:$E$21,1))+(($A241+4)-INDEX($E$12:$E$21,MATCH(($A241+4),$E$12:$E$21,1)))*(IFERROR(INDEX($F$12:$F$21,MATCH(($A241+4),$E$12:$E$21,1)+1),INDEX($F$12:$F$21,MATCH(($A241+4),$E$12:$E$21,1)))-INDEX($F$12:$F$21,MATCH(($A241+4),$E$12:$E$21,1)))/IF((IFERROR(INDEX($E$12:$E$21,MATCH(($A241+4),$E$12:$E$21,1)+1),INDEX($E$12:$E$21,MATCH(($A241+4),$E$12:$E$21,1))+1)-INDEX($E$12:$E$21,MATCH(($A241+4),$E$12:$E$21,1)))=0,1,IFERROR(INDEX($E$12:$E$21,MATCH(($A241+4),$E$12:$E$21,1)+1),INDEX($E$12:$E$21,MATCH(($A241+4),$E$12:$E$21,1))+1)-INDEX($E$12:$E$21,MATCH(($A241+4),$E$12:$E$21,1)))),$F$12))</f>
        <v/>
      </c>
      <c r="G241" s="30" t="str">
        <f>IF(($A241+5)&gt;$B$11, "", IFERROR((INDEX($F$12:$F$21,MATCH(($A241+5),$E$12:$E$21,1))+(($A241+5)-INDEX($E$12:$E$21,MATCH(($A241+5),$E$12:$E$21,1)))*(IFERROR(INDEX($F$12:$F$21,MATCH(($A241+5),$E$12:$E$21,1)+1),INDEX($F$12:$F$21,MATCH(($A241+5),$E$12:$E$21,1)))-INDEX($F$12:$F$21,MATCH(($A241+5),$E$12:$E$21,1)))/IF((IFERROR(INDEX($E$12:$E$21,MATCH(($A241+5),$E$12:$E$21,1)+1),INDEX($E$12:$E$21,MATCH(($A241+5),$E$12:$E$21,1))+1)-INDEX($E$12:$E$21,MATCH(($A241+5),$E$12:$E$21,1)))=0,1,IFERROR(INDEX($E$12:$E$21,MATCH(($A241+5),$E$12:$E$21,1)+1),INDEX($E$12:$E$21,MATCH(($A241+5),$E$12:$E$21,1))+1)-INDEX($E$12:$E$21,MATCH(($A241+5),$E$12:$E$21,1)))),$F$12))</f>
        <v/>
      </c>
      <c r="H241" s="30" t="str">
        <f>IF(($A241+6)&gt;$B$11, "", IFERROR((INDEX($F$12:$F$21,MATCH(($A241+6),$E$12:$E$21,1))+(($A241+6)-INDEX($E$12:$E$21,MATCH(($A241+6),$E$12:$E$21,1)))*(IFERROR(INDEX($F$12:$F$21,MATCH(($A241+6),$E$12:$E$21,1)+1),INDEX($F$12:$F$21,MATCH(($A241+6),$E$12:$E$21,1)))-INDEX($F$12:$F$21,MATCH(($A241+6),$E$12:$E$21,1)))/IF((IFERROR(INDEX($E$12:$E$21,MATCH(($A241+6),$E$12:$E$21,1)+1),INDEX($E$12:$E$21,MATCH(($A241+6),$E$12:$E$21,1))+1)-INDEX($E$12:$E$21,MATCH(($A241+6),$E$12:$E$21,1)))=0,1,IFERROR(INDEX($E$12:$E$21,MATCH(($A241+6),$E$12:$E$21,1)+1),INDEX($E$12:$E$21,MATCH(($A241+6),$E$12:$E$21,1))+1)-INDEX($E$12:$E$21,MATCH(($A241+6),$E$12:$E$21,1)))),$F$12))</f>
        <v/>
      </c>
      <c r="I241" s="30" t="str">
        <f>IF(($A241+7)&gt;$B$11, "", IFERROR((INDEX($F$12:$F$21,MATCH(($A241+7),$E$12:$E$21,1))+(($A241+7)-INDEX($E$12:$E$21,MATCH(($A241+7),$E$12:$E$21,1)))*(IFERROR(INDEX($F$12:$F$21,MATCH(($A241+7),$E$12:$E$21,1)+1),INDEX($F$12:$F$21,MATCH(($A241+7),$E$12:$E$21,1)))-INDEX($F$12:$F$21,MATCH(($A241+7),$E$12:$E$21,1)))/IF((IFERROR(INDEX($E$12:$E$21,MATCH(($A241+7),$E$12:$E$21,1)+1),INDEX($E$12:$E$21,MATCH(($A241+7),$E$12:$E$21,1))+1)-INDEX($E$12:$E$21,MATCH(($A241+7),$E$12:$E$21,1)))=0,1,IFERROR(INDEX($E$12:$E$21,MATCH(($A241+7),$E$12:$E$21,1)+1),INDEX($E$12:$E$21,MATCH(($A241+7),$E$12:$E$21,1))+1)-INDEX($E$12:$E$21,MATCH(($A241+7),$E$12:$E$21,1)))),$F$12))</f>
        <v/>
      </c>
      <c r="J241" s="30" t="str">
        <f>IF(($A241+8)&gt;$B$11, "", IFERROR((INDEX($F$12:$F$21,MATCH(($A241+8),$E$12:$E$21,1))+(($A241+8)-INDEX($E$12:$E$21,MATCH(($A241+8),$E$12:$E$21,1)))*(IFERROR(INDEX($F$12:$F$21,MATCH(($A241+8),$E$12:$E$21,1)+1),INDEX($F$12:$F$21,MATCH(($A241+8),$E$12:$E$21,1)))-INDEX($F$12:$F$21,MATCH(($A241+8),$E$12:$E$21,1)))/IF((IFERROR(INDEX($E$12:$E$21,MATCH(($A241+8),$E$12:$E$21,1)+1),INDEX($E$12:$E$21,MATCH(($A241+8),$E$12:$E$21,1))+1)-INDEX($E$12:$E$21,MATCH(($A241+8),$E$12:$E$21,1)))=0,1,IFERROR(INDEX($E$12:$E$21,MATCH(($A241+8),$E$12:$E$21,1)+1),INDEX($E$12:$E$21,MATCH(($A241+8),$E$12:$E$21,1))+1)-INDEX($E$12:$E$21,MATCH(($A241+8),$E$12:$E$21,1)))),$F$12))</f>
        <v/>
      </c>
      <c r="K241" s="30" t="str">
        <f>IF(($A241+9)&gt;$B$11, "", IFERROR((INDEX($F$12:$F$21,MATCH(($A241+9),$E$12:$E$21,1))+(($A241+9)-INDEX($E$12:$E$21,MATCH(($A241+9),$E$12:$E$21,1)))*(IFERROR(INDEX($F$12:$F$21,MATCH(($A241+9),$E$12:$E$21,1)+1),INDEX($F$12:$F$21,MATCH(($A241+9),$E$12:$E$21,1)))-INDEX($F$12:$F$21,MATCH(($A241+9),$E$12:$E$21,1)))/IF((IFERROR(INDEX($E$12:$E$21,MATCH(($A241+9),$E$12:$E$21,1)+1),INDEX($E$12:$E$21,MATCH(($A241+9),$E$12:$E$21,1))+1)-INDEX($E$12:$E$21,MATCH(($A241+9),$E$12:$E$21,1)))=0,1,IFERROR(INDEX($E$12:$E$21,MATCH(($A241+9),$E$12:$E$21,1)+1),INDEX($E$12:$E$21,MATCH(($A241+9),$E$12:$E$21,1))+1)-INDEX($E$12:$E$21,MATCH(($A241+9),$E$12:$E$21,1)))),$F$12))</f>
        <v/>
      </c>
    </row>
    <row r="242">
      <c r="A242" s="11">
        <v>440</v>
      </c>
      <c r="B242" s="30" t="str">
        <f>IF(($A242+0)&gt;$B$11, "", IFERROR((INDEX($F$12:$F$21,MATCH(($A242+0),$E$12:$E$21,1))+(($A242+0)-INDEX($E$12:$E$21,MATCH(($A242+0),$E$12:$E$21,1)))*(IFERROR(INDEX($F$12:$F$21,MATCH(($A242+0),$E$12:$E$21,1)+1),INDEX($F$12:$F$21,MATCH(($A242+0),$E$12:$E$21,1)))-INDEX($F$12:$F$21,MATCH(($A242+0),$E$12:$E$21,1)))/IF((IFERROR(INDEX($E$12:$E$21,MATCH(($A242+0),$E$12:$E$21,1)+1),INDEX($E$12:$E$21,MATCH(($A242+0),$E$12:$E$21,1))+1)-INDEX($E$12:$E$21,MATCH(($A242+0),$E$12:$E$21,1)))=0,1,IFERROR(INDEX($E$12:$E$21,MATCH(($A242+0),$E$12:$E$21,1)+1),INDEX($E$12:$E$21,MATCH(($A242+0),$E$12:$E$21,1))+1)-INDEX($E$12:$E$21,MATCH(($A242+0),$E$12:$E$21,1)))),$F$12))</f>
        <v/>
      </c>
      <c r="C242" s="30" t="str">
        <f>IF(($A242+1)&gt;$B$11, "", IFERROR((INDEX($F$12:$F$21,MATCH(($A242+1),$E$12:$E$21,1))+(($A242+1)-INDEX($E$12:$E$21,MATCH(($A242+1),$E$12:$E$21,1)))*(IFERROR(INDEX($F$12:$F$21,MATCH(($A242+1),$E$12:$E$21,1)+1),INDEX($F$12:$F$21,MATCH(($A242+1),$E$12:$E$21,1)))-INDEX($F$12:$F$21,MATCH(($A242+1),$E$12:$E$21,1)))/IF((IFERROR(INDEX($E$12:$E$21,MATCH(($A242+1),$E$12:$E$21,1)+1),INDEX($E$12:$E$21,MATCH(($A242+1),$E$12:$E$21,1))+1)-INDEX($E$12:$E$21,MATCH(($A242+1),$E$12:$E$21,1)))=0,1,IFERROR(INDEX($E$12:$E$21,MATCH(($A242+1),$E$12:$E$21,1)+1),INDEX($E$12:$E$21,MATCH(($A242+1),$E$12:$E$21,1))+1)-INDEX($E$12:$E$21,MATCH(($A242+1),$E$12:$E$21,1)))),$F$12))</f>
        <v/>
      </c>
      <c r="D242" s="30" t="str">
        <f>IF(($A242+2)&gt;$B$11, "", IFERROR((INDEX($F$12:$F$21,MATCH(($A242+2),$E$12:$E$21,1))+(($A242+2)-INDEX($E$12:$E$21,MATCH(($A242+2),$E$12:$E$21,1)))*(IFERROR(INDEX($F$12:$F$21,MATCH(($A242+2),$E$12:$E$21,1)+1),INDEX($F$12:$F$21,MATCH(($A242+2),$E$12:$E$21,1)))-INDEX($F$12:$F$21,MATCH(($A242+2),$E$12:$E$21,1)))/IF((IFERROR(INDEX($E$12:$E$21,MATCH(($A242+2),$E$12:$E$21,1)+1),INDEX($E$12:$E$21,MATCH(($A242+2),$E$12:$E$21,1))+1)-INDEX($E$12:$E$21,MATCH(($A242+2),$E$12:$E$21,1)))=0,1,IFERROR(INDEX($E$12:$E$21,MATCH(($A242+2),$E$12:$E$21,1)+1),INDEX($E$12:$E$21,MATCH(($A242+2),$E$12:$E$21,1))+1)-INDEX($E$12:$E$21,MATCH(($A242+2),$E$12:$E$21,1)))),$F$12))</f>
        <v/>
      </c>
      <c r="E242" s="30" t="str">
        <f>IF(($A242+3)&gt;$B$11, "", IFERROR((INDEX($F$12:$F$21,MATCH(($A242+3),$E$12:$E$21,1))+(($A242+3)-INDEX($E$12:$E$21,MATCH(($A242+3),$E$12:$E$21,1)))*(IFERROR(INDEX($F$12:$F$21,MATCH(($A242+3),$E$12:$E$21,1)+1),INDEX($F$12:$F$21,MATCH(($A242+3),$E$12:$E$21,1)))-INDEX($F$12:$F$21,MATCH(($A242+3),$E$12:$E$21,1)))/IF((IFERROR(INDEX($E$12:$E$21,MATCH(($A242+3),$E$12:$E$21,1)+1),INDEX($E$12:$E$21,MATCH(($A242+3),$E$12:$E$21,1))+1)-INDEX($E$12:$E$21,MATCH(($A242+3),$E$12:$E$21,1)))=0,1,IFERROR(INDEX($E$12:$E$21,MATCH(($A242+3),$E$12:$E$21,1)+1),INDEX($E$12:$E$21,MATCH(($A242+3),$E$12:$E$21,1))+1)-INDEX($E$12:$E$21,MATCH(($A242+3),$E$12:$E$21,1)))),$F$12))</f>
        <v/>
      </c>
      <c r="F242" s="30" t="str">
        <f>IF(($A242+4)&gt;$B$11, "", IFERROR((INDEX($F$12:$F$21,MATCH(($A242+4),$E$12:$E$21,1))+(($A242+4)-INDEX($E$12:$E$21,MATCH(($A242+4),$E$12:$E$21,1)))*(IFERROR(INDEX($F$12:$F$21,MATCH(($A242+4),$E$12:$E$21,1)+1),INDEX($F$12:$F$21,MATCH(($A242+4),$E$12:$E$21,1)))-INDEX($F$12:$F$21,MATCH(($A242+4),$E$12:$E$21,1)))/IF((IFERROR(INDEX($E$12:$E$21,MATCH(($A242+4),$E$12:$E$21,1)+1),INDEX($E$12:$E$21,MATCH(($A242+4),$E$12:$E$21,1))+1)-INDEX($E$12:$E$21,MATCH(($A242+4),$E$12:$E$21,1)))=0,1,IFERROR(INDEX($E$12:$E$21,MATCH(($A242+4),$E$12:$E$21,1)+1),INDEX($E$12:$E$21,MATCH(($A242+4),$E$12:$E$21,1))+1)-INDEX($E$12:$E$21,MATCH(($A242+4),$E$12:$E$21,1)))),$F$12))</f>
        <v/>
      </c>
      <c r="G242" s="30" t="str">
        <f>IF(($A242+5)&gt;$B$11, "", IFERROR((INDEX($F$12:$F$21,MATCH(($A242+5),$E$12:$E$21,1))+(($A242+5)-INDEX($E$12:$E$21,MATCH(($A242+5),$E$12:$E$21,1)))*(IFERROR(INDEX($F$12:$F$21,MATCH(($A242+5),$E$12:$E$21,1)+1),INDEX($F$12:$F$21,MATCH(($A242+5),$E$12:$E$21,1)))-INDEX($F$12:$F$21,MATCH(($A242+5),$E$12:$E$21,1)))/IF((IFERROR(INDEX($E$12:$E$21,MATCH(($A242+5),$E$12:$E$21,1)+1),INDEX($E$12:$E$21,MATCH(($A242+5),$E$12:$E$21,1))+1)-INDEX($E$12:$E$21,MATCH(($A242+5),$E$12:$E$21,1)))=0,1,IFERROR(INDEX($E$12:$E$21,MATCH(($A242+5),$E$12:$E$21,1)+1),INDEX($E$12:$E$21,MATCH(($A242+5),$E$12:$E$21,1))+1)-INDEX($E$12:$E$21,MATCH(($A242+5),$E$12:$E$21,1)))),$F$12))</f>
        <v/>
      </c>
      <c r="H242" s="30" t="str">
        <f>IF(($A242+6)&gt;$B$11, "", IFERROR((INDEX($F$12:$F$21,MATCH(($A242+6),$E$12:$E$21,1))+(($A242+6)-INDEX($E$12:$E$21,MATCH(($A242+6),$E$12:$E$21,1)))*(IFERROR(INDEX($F$12:$F$21,MATCH(($A242+6),$E$12:$E$21,1)+1),INDEX($F$12:$F$21,MATCH(($A242+6),$E$12:$E$21,1)))-INDEX($F$12:$F$21,MATCH(($A242+6),$E$12:$E$21,1)))/IF((IFERROR(INDEX($E$12:$E$21,MATCH(($A242+6),$E$12:$E$21,1)+1),INDEX($E$12:$E$21,MATCH(($A242+6),$E$12:$E$21,1))+1)-INDEX($E$12:$E$21,MATCH(($A242+6),$E$12:$E$21,1)))=0,1,IFERROR(INDEX($E$12:$E$21,MATCH(($A242+6),$E$12:$E$21,1)+1),INDEX($E$12:$E$21,MATCH(($A242+6),$E$12:$E$21,1))+1)-INDEX($E$12:$E$21,MATCH(($A242+6),$E$12:$E$21,1)))),$F$12))</f>
        <v/>
      </c>
      <c r="I242" s="30" t="str">
        <f>IF(($A242+7)&gt;$B$11, "", IFERROR((INDEX($F$12:$F$21,MATCH(($A242+7),$E$12:$E$21,1))+(($A242+7)-INDEX($E$12:$E$21,MATCH(($A242+7),$E$12:$E$21,1)))*(IFERROR(INDEX($F$12:$F$21,MATCH(($A242+7),$E$12:$E$21,1)+1),INDEX($F$12:$F$21,MATCH(($A242+7),$E$12:$E$21,1)))-INDEX($F$12:$F$21,MATCH(($A242+7),$E$12:$E$21,1)))/IF((IFERROR(INDEX($E$12:$E$21,MATCH(($A242+7),$E$12:$E$21,1)+1),INDEX($E$12:$E$21,MATCH(($A242+7),$E$12:$E$21,1))+1)-INDEX($E$12:$E$21,MATCH(($A242+7),$E$12:$E$21,1)))=0,1,IFERROR(INDEX($E$12:$E$21,MATCH(($A242+7),$E$12:$E$21,1)+1),INDEX($E$12:$E$21,MATCH(($A242+7),$E$12:$E$21,1))+1)-INDEX($E$12:$E$21,MATCH(($A242+7),$E$12:$E$21,1)))),$F$12))</f>
        <v/>
      </c>
      <c r="J242" s="30" t="str">
        <f>IF(($A242+8)&gt;$B$11, "", IFERROR((INDEX($F$12:$F$21,MATCH(($A242+8),$E$12:$E$21,1))+(($A242+8)-INDEX($E$12:$E$21,MATCH(($A242+8),$E$12:$E$21,1)))*(IFERROR(INDEX($F$12:$F$21,MATCH(($A242+8),$E$12:$E$21,1)+1),INDEX($F$12:$F$21,MATCH(($A242+8),$E$12:$E$21,1)))-INDEX($F$12:$F$21,MATCH(($A242+8),$E$12:$E$21,1)))/IF((IFERROR(INDEX($E$12:$E$21,MATCH(($A242+8),$E$12:$E$21,1)+1),INDEX($E$12:$E$21,MATCH(($A242+8),$E$12:$E$21,1))+1)-INDEX($E$12:$E$21,MATCH(($A242+8),$E$12:$E$21,1)))=0,1,IFERROR(INDEX($E$12:$E$21,MATCH(($A242+8),$E$12:$E$21,1)+1),INDEX($E$12:$E$21,MATCH(($A242+8),$E$12:$E$21,1))+1)-INDEX($E$12:$E$21,MATCH(($A242+8),$E$12:$E$21,1)))),$F$12))</f>
        <v/>
      </c>
      <c r="K242" s="30" t="str">
        <f>IF(($A242+9)&gt;$B$11, "", IFERROR((INDEX($F$12:$F$21,MATCH(($A242+9),$E$12:$E$21,1))+(($A242+9)-INDEX($E$12:$E$21,MATCH(($A242+9),$E$12:$E$21,1)))*(IFERROR(INDEX($F$12:$F$21,MATCH(($A242+9),$E$12:$E$21,1)+1),INDEX($F$12:$F$21,MATCH(($A242+9),$E$12:$E$21,1)))-INDEX($F$12:$F$21,MATCH(($A242+9),$E$12:$E$21,1)))/IF((IFERROR(INDEX($E$12:$E$21,MATCH(($A242+9),$E$12:$E$21,1)+1),INDEX($E$12:$E$21,MATCH(($A242+9),$E$12:$E$21,1))+1)-INDEX($E$12:$E$21,MATCH(($A242+9),$E$12:$E$21,1)))=0,1,IFERROR(INDEX($E$12:$E$21,MATCH(($A242+9),$E$12:$E$21,1)+1),INDEX($E$12:$E$21,MATCH(($A242+9),$E$12:$E$21,1))+1)-INDEX($E$12:$E$21,MATCH(($A242+9),$E$12:$E$21,1)))),$F$12))</f>
        <v/>
      </c>
    </row>
    <row r="243">
      <c r="A243" s="11">
        <v>450</v>
      </c>
      <c r="B243" s="30" t="str">
        <f>IF(($A243+0)&gt;$B$11, "", IFERROR((INDEX($F$12:$F$21,MATCH(($A243+0),$E$12:$E$21,1))+(($A243+0)-INDEX($E$12:$E$21,MATCH(($A243+0),$E$12:$E$21,1)))*(IFERROR(INDEX($F$12:$F$21,MATCH(($A243+0),$E$12:$E$21,1)+1),INDEX($F$12:$F$21,MATCH(($A243+0),$E$12:$E$21,1)))-INDEX($F$12:$F$21,MATCH(($A243+0),$E$12:$E$21,1)))/IF((IFERROR(INDEX($E$12:$E$21,MATCH(($A243+0),$E$12:$E$21,1)+1),INDEX($E$12:$E$21,MATCH(($A243+0),$E$12:$E$21,1))+1)-INDEX($E$12:$E$21,MATCH(($A243+0),$E$12:$E$21,1)))=0,1,IFERROR(INDEX($E$12:$E$21,MATCH(($A243+0),$E$12:$E$21,1)+1),INDEX($E$12:$E$21,MATCH(($A243+0),$E$12:$E$21,1))+1)-INDEX($E$12:$E$21,MATCH(($A243+0),$E$12:$E$21,1)))),$F$12))</f>
        <v/>
      </c>
      <c r="C243" s="30" t="str">
        <f>IF(($A243+1)&gt;$B$11, "", IFERROR((INDEX($F$12:$F$21,MATCH(($A243+1),$E$12:$E$21,1))+(($A243+1)-INDEX($E$12:$E$21,MATCH(($A243+1),$E$12:$E$21,1)))*(IFERROR(INDEX($F$12:$F$21,MATCH(($A243+1),$E$12:$E$21,1)+1),INDEX($F$12:$F$21,MATCH(($A243+1),$E$12:$E$21,1)))-INDEX($F$12:$F$21,MATCH(($A243+1),$E$12:$E$21,1)))/IF((IFERROR(INDEX($E$12:$E$21,MATCH(($A243+1),$E$12:$E$21,1)+1),INDEX($E$12:$E$21,MATCH(($A243+1),$E$12:$E$21,1))+1)-INDEX($E$12:$E$21,MATCH(($A243+1),$E$12:$E$21,1)))=0,1,IFERROR(INDEX($E$12:$E$21,MATCH(($A243+1),$E$12:$E$21,1)+1),INDEX($E$12:$E$21,MATCH(($A243+1),$E$12:$E$21,1))+1)-INDEX($E$12:$E$21,MATCH(($A243+1),$E$12:$E$21,1)))),$F$12))</f>
        <v/>
      </c>
      <c r="D243" s="30" t="str">
        <f>IF(($A243+2)&gt;$B$11, "", IFERROR((INDEX($F$12:$F$21,MATCH(($A243+2),$E$12:$E$21,1))+(($A243+2)-INDEX($E$12:$E$21,MATCH(($A243+2),$E$12:$E$21,1)))*(IFERROR(INDEX($F$12:$F$21,MATCH(($A243+2),$E$12:$E$21,1)+1),INDEX($F$12:$F$21,MATCH(($A243+2),$E$12:$E$21,1)))-INDEX($F$12:$F$21,MATCH(($A243+2),$E$12:$E$21,1)))/IF((IFERROR(INDEX($E$12:$E$21,MATCH(($A243+2),$E$12:$E$21,1)+1),INDEX($E$12:$E$21,MATCH(($A243+2),$E$12:$E$21,1))+1)-INDEX($E$12:$E$21,MATCH(($A243+2),$E$12:$E$21,1)))=0,1,IFERROR(INDEX($E$12:$E$21,MATCH(($A243+2),$E$12:$E$21,1)+1),INDEX($E$12:$E$21,MATCH(($A243+2),$E$12:$E$21,1))+1)-INDEX($E$12:$E$21,MATCH(($A243+2),$E$12:$E$21,1)))),$F$12))</f>
        <v/>
      </c>
      <c r="E243" s="30" t="str">
        <f>IF(($A243+3)&gt;$B$11, "", IFERROR((INDEX($F$12:$F$21,MATCH(($A243+3),$E$12:$E$21,1))+(($A243+3)-INDEX($E$12:$E$21,MATCH(($A243+3),$E$12:$E$21,1)))*(IFERROR(INDEX($F$12:$F$21,MATCH(($A243+3),$E$12:$E$21,1)+1),INDEX($F$12:$F$21,MATCH(($A243+3),$E$12:$E$21,1)))-INDEX($F$12:$F$21,MATCH(($A243+3),$E$12:$E$21,1)))/IF((IFERROR(INDEX($E$12:$E$21,MATCH(($A243+3),$E$12:$E$21,1)+1),INDEX($E$12:$E$21,MATCH(($A243+3),$E$12:$E$21,1))+1)-INDEX($E$12:$E$21,MATCH(($A243+3),$E$12:$E$21,1)))=0,1,IFERROR(INDEX($E$12:$E$21,MATCH(($A243+3),$E$12:$E$21,1)+1),INDEX($E$12:$E$21,MATCH(($A243+3),$E$12:$E$21,1))+1)-INDEX($E$12:$E$21,MATCH(($A243+3),$E$12:$E$21,1)))),$F$12))</f>
        <v/>
      </c>
      <c r="F243" s="30" t="str">
        <f>IF(($A243+4)&gt;$B$11, "", IFERROR((INDEX($F$12:$F$21,MATCH(($A243+4),$E$12:$E$21,1))+(($A243+4)-INDEX($E$12:$E$21,MATCH(($A243+4),$E$12:$E$21,1)))*(IFERROR(INDEX($F$12:$F$21,MATCH(($A243+4),$E$12:$E$21,1)+1),INDEX($F$12:$F$21,MATCH(($A243+4),$E$12:$E$21,1)))-INDEX($F$12:$F$21,MATCH(($A243+4),$E$12:$E$21,1)))/IF((IFERROR(INDEX($E$12:$E$21,MATCH(($A243+4),$E$12:$E$21,1)+1),INDEX($E$12:$E$21,MATCH(($A243+4),$E$12:$E$21,1))+1)-INDEX($E$12:$E$21,MATCH(($A243+4),$E$12:$E$21,1)))=0,1,IFERROR(INDEX($E$12:$E$21,MATCH(($A243+4),$E$12:$E$21,1)+1),INDEX($E$12:$E$21,MATCH(($A243+4),$E$12:$E$21,1))+1)-INDEX($E$12:$E$21,MATCH(($A243+4),$E$12:$E$21,1)))),$F$12))</f>
        <v/>
      </c>
      <c r="G243" s="30" t="str">
        <f>IF(($A243+5)&gt;$B$11, "", IFERROR((INDEX($F$12:$F$21,MATCH(($A243+5),$E$12:$E$21,1))+(($A243+5)-INDEX($E$12:$E$21,MATCH(($A243+5),$E$12:$E$21,1)))*(IFERROR(INDEX($F$12:$F$21,MATCH(($A243+5),$E$12:$E$21,1)+1),INDEX($F$12:$F$21,MATCH(($A243+5),$E$12:$E$21,1)))-INDEX($F$12:$F$21,MATCH(($A243+5),$E$12:$E$21,1)))/IF((IFERROR(INDEX($E$12:$E$21,MATCH(($A243+5),$E$12:$E$21,1)+1),INDEX($E$12:$E$21,MATCH(($A243+5),$E$12:$E$21,1))+1)-INDEX($E$12:$E$21,MATCH(($A243+5),$E$12:$E$21,1)))=0,1,IFERROR(INDEX($E$12:$E$21,MATCH(($A243+5),$E$12:$E$21,1)+1),INDEX($E$12:$E$21,MATCH(($A243+5),$E$12:$E$21,1))+1)-INDEX($E$12:$E$21,MATCH(($A243+5),$E$12:$E$21,1)))),$F$12))</f>
        <v/>
      </c>
      <c r="H243" s="30" t="str">
        <f>IF(($A243+6)&gt;$B$11, "", IFERROR((INDEX($F$12:$F$21,MATCH(($A243+6),$E$12:$E$21,1))+(($A243+6)-INDEX($E$12:$E$21,MATCH(($A243+6),$E$12:$E$21,1)))*(IFERROR(INDEX($F$12:$F$21,MATCH(($A243+6),$E$12:$E$21,1)+1),INDEX($F$12:$F$21,MATCH(($A243+6),$E$12:$E$21,1)))-INDEX($F$12:$F$21,MATCH(($A243+6),$E$12:$E$21,1)))/IF((IFERROR(INDEX($E$12:$E$21,MATCH(($A243+6),$E$12:$E$21,1)+1),INDEX($E$12:$E$21,MATCH(($A243+6),$E$12:$E$21,1))+1)-INDEX($E$12:$E$21,MATCH(($A243+6),$E$12:$E$21,1)))=0,1,IFERROR(INDEX($E$12:$E$21,MATCH(($A243+6),$E$12:$E$21,1)+1),INDEX($E$12:$E$21,MATCH(($A243+6),$E$12:$E$21,1))+1)-INDEX($E$12:$E$21,MATCH(($A243+6),$E$12:$E$21,1)))),$F$12))</f>
        <v/>
      </c>
      <c r="I243" s="30" t="str">
        <f>IF(($A243+7)&gt;$B$11, "", IFERROR((INDEX($F$12:$F$21,MATCH(($A243+7),$E$12:$E$21,1))+(($A243+7)-INDEX($E$12:$E$21,MATCH(($A243+7),$E$12:$E$21,1)))*(IFERROR(INDEX($F$12:$F$21,MATCH(($A243+7),$E$12:$E$21,1)+1),INDEX($F$12:$F$21,MATCH(($A243+7),$E$12:$E$21,1)))-INDEX($F$12:$F$21,MATCH(($A243+7),$E$12:$E$21,1)))/IF((IFERROR(INDEX($E$12:$E$21,MATCH(($A243+7),$E$12:$E$21,1)+1),INDEX($E$12:$E$21,MATCH(($A243+7),$E$12:$E$21,1))+1)-INDEX($E$12:$E$21,MATCH(($A243+7),$E$12:$E$21,1)))=0,1,IFERROR(INDEX($E$12:$E$21,MATCH(($A243+7),$E$12:$E$21,1)+1),INDEX($E$12:$E$21,MATCH(($A243+7),$E$12:$E$21,1))+1)-INDEX($E$12:$E$21,MATCH(($A243+7),$E$12:$E$21,1)))),$F$12))</f>
        <v/>
      </c>
      <c r="J243" s="30" t="str">
        <f>IF(($A243+8)&gt;$B$11, "", IFERROR((INDEX($F$12:$F$21,MATCH(($A243+8),$E$12:$E$21,1))+(($A243+8)-INDEX($E$12:$E$21,MATCH(($A243+8),$E$12:$E$21,1)))*(IFERROR(INDEX($F$12:$F$21,MATCH(($A243+8),$E$12:$E$21,1)+1),INDEX($F$12:$F$21,MATCH(($A243+8),$E$12:$E$21,1)))-INDEX($F$12:$F$21,MATCH(($A243+8),$E$12:$E$21,1)))/IF((IFERROR(INDEX($E$12:$E$21,MATCH(($A243+8),$E$12:$E$21,1)+1),INDEX($E$12:$E$21,MATCH(($A243+8),$E$12:$E$21,1))+1)-INDEX($E$12:$E$21,MATCH(($A243+8),$E$12:$E$21,1)))=0,1,IFERROR(INDEX($E$12:$E$21,MATCH(($A243+8),$E$12:$E$21,1)+1),INDEX($E$12:$E$21,MATCH(($A243+8),$E$12:$E$21,1))+1)-INDEX($E$12:$E$21,MATCH(($A243+8),$E$12:$E$21,1)))),$F$12))</f>
        <v/>
      </c>
      <c r="K243" s="30" t="str">
        <f>IF(($A243+9)&gt;$B$11, "", IFERROR((INDEX($F$12:$F$21,MATCH(($A243+9),$E$12:$E$21,1))+(($A243+9)-INDEX($E$12:$E$21,MATCH(($A243+9),$E$12:$E$21,1)))*(IFERROR(INDEX($F$12:$F$21,MATCH(($A243+9),$E$12:$E$21,1)+1),INDEX($F$12:$F$21,MATCH(($A243+9),$E$12:$E$21,1)))-INDEX($F$12:$F$21,MATCH(($A243+9),$E$12:$E$21,1)))/IF((IFERROR(INDEX($E$12:$E$21,MATCH(($A243+9),$E$12:$E$21,1)+1),INDEX($E$12:$E$21,MATCH(($A243+9),$E$12:$E$21,1))+1)-INDEX($E$12:$E$21,MATCH(($A243+9),$E$12:$E$21,1)))=0,1,IFERROR(INDEX($E$12:$E$21,MATCH(($A243+9),$E$12:$E$21,1)+1),INDEX($E$12:$E$21,MATCH(($A243+9),$E$12:$E$21,1))+1)-INDEX($E$12:$E$21,MATCH(($A243+9),$E$12:$E$21,1)))),$F$12))</f>
        <v/>
      </c>
    </row>
    <row r="244">
      <c r="A244" s="11">
        <v>460</v>
      </c>
      <c r="B244" s="30" t="str">
        <f>IF(($A244+0)&gt;$B$11, "", IFERROR((INDEX($F$12:$F$21,MATCH(($A244+0),$E$12:$E$21,1))+(($A244+0)-INDEX($E$12:$E$21,MATCH(($A244+0),$E$12:$E$21,1)))*(IFERROR(INDEX($F$12:$F$21,MATCH(($A244+0),$E$12:$E$21,1)+1),INDEX($F$12:$F$21,MATCH(($A244+0),$E$12:$E$21,1)))-INDEX($F$12:$F$21,MATCH(($A244+0),$E$12:$E$21,1)))/IF((IFERROR(INDEX($E$12:$E$21,MATCH(($A244+0),$E$12:$E$21,1)+1),INDEX($E$12:$E$21,MATCH(($A244+0),$E$12:$E$21,1))+1)-INDEX($E$12:$E$21,MATCH(($A244+0),$E$12:$E$21,1)))=0,1,IFERROR(INDEX($E$12:$E$21,MATCH(($A244+0),$E$12:$E$21,1)+1),INDEX($E$12:$E$21,MATCH(($A244+0),$E$12:$E$21,1))+1)-INDEX($E$12:$E$21,MATCH(($A244+0),$E$12:$E$21,1)))),$F$12))</f>
        <v/>
      </c>
      <c r="C244" s="30" t="str">
        <f>IF(($A244+1)&gt;$B$11, "", IFERROR((INDEX($F$12:$F$21,MATCH(($A244+1),$E$12:$E$21,1))+(($A244+1)-INDEX($E$12:$E$21,MATCH(($A244+1),$E$12:$E$21,1)))*(IFERROR(INDEX($F$12:$F$21,MATCH(($A244+1),$E$12:$E$21,1)+1),INDEX($F$12:$F$21,MATCH(($A244+1),$E$12:$E$21,1)))-INDEX($F$12:$F$21,MATCH(($A244+1),$E$12:$E$21,1)))/IF((IFERROR(INDEX($E$12:$E$21,MATCH(($A244+1),$E$12:$E$21,1)+1),INDEX($E$12:$E$21,MATCH(($A244+1),$E$12:$E$21,1))+1)-INDEX($E$12:$E$21,MATCH(($A244+1),$E$12:$E$21,1)))=0,1,IFERROR(INDEX($E$12:$E$21,MATCH(($A244+1),$E$12:$E$21,1)+1),INDEX($E$12:$E$21,MATCH(($A244+1),$E$12:$E$21,1))+1)-INDEX($E$12:$E$21,MATCH(($A244+1),$E$12:$E$21,1)))),$F$12))</f>
        <v/>
      </c>
      <c r="D244" s="30" t="str">
        <f>IF(($A244+2)&gt;$B$11, "", IFERROR((INDEX($F$12:$F$21,MATCH(($A244+2),$E$12:$E$21,1))+(($A244+2)-INDEX($E$12:$E$21,MATCH(($A244+2),$E$12:$E$21,1)))*(IFERROR(INDEX($F$12:$F$21,MATCH(($A244+2),$E$12:$E$21,1)+1),INDEX($F$12:$F$21,MATCH(($A244+2),$E$12:$E$21,1)))-INDEX($F$12:$F$21,MATCH(($A244+2),$E$12:$E$21,1)))/IF((IFERROR(INDEX($E$12:$E$21,MATCH(($A244+2),$E$12:$E$21,1)+1),INDEX($E$12:$E$21,MATCH(($A244+2),$E$12:$E$21,1))+1)-INDEX($E$12:$E$21,MATCH(($A244+2),$E$12:$E$21,1)))=0,1,IFERROR(INDEX($E$12:$E$21,MATCH(($A244+2),$E$12:$E$21,1)+1),INDEX($E$12:$E$21,MATCH(($A244+2),$E$12:$E$21,1))+1)-INDEX($E$12:$E$21,MATCH(($A244+2),$E$12:$E$21,1)))),$F$12))</f>
        <v/>
      </c>
      <c r="E244" s="30" t="str">
        <f>IF(($A244+3)&gt;$B$11, "", IFERROR((INDEX($F$12:$F$21,MATCH(($A244+3),$E$12:$E$21,1))+(($A244+3)-INDEX($E$12:$E$21,MATCH(($A244+3),$E$12:$E$21,1)))*(IFERROR(INDEX($F$12:$F$21,MATCH(($A244+3),$E$12:$E$21,1)+1),INDEX($F$12:$F$21,MATCH(($A244+3),$E$12:$E$21,1)))-INDEX($F$12:$F$21,MATCH(($A244+3),$E$12:$E$21,1)))/IF((IFERROR(INDEX($E$12:$E$21,MATCH(($A244+3),$E$12:$E$21,1)+1),INDEX($E$12:$E$21,MATCH(($A244+3),$E$12:$E$21,1))+1)-INDEX($E$12:$E$21,MATCH(($A244+3),$E$12:$E$21,1)))=0,1,IFERROR(INDEX($E$12:$E$21,MATCH(($A244+3),$E$12:$E$21,1)+1),INDEX($E$12:$E$21,MATCH(($A244+3),$E$12:$E$21,1))+1)-INDEX($E$12:$E$21,MATCH(($A244+3),$E$12:$E$21,1)))),$F$12))</f>
        <v/>
      </c>
      <c r="F244" s="30" t="str">
        <f>IF(($A244+4)&gt;$B$11, "", IFERROR((INDEX($F$12:$F$21,MATCH(($A244+4),$E$12:$E$21,1))+(($A244+4)-INDEX($E$12:$E$21,MATCH(($A244+4),$E$12:$E$21,1)))*(IFERROR(INDEX($F$12:$F$21,MATCH(($A244+4),$E$12:$E$21,1)+1),INDEX($F$12:$F$21,MATCH(($A244+4),$E$12:$E$21,1)))-INDEX($F$12:$F$21,MATCH(($A244+4),$E$12:$E$21,1)))/IF((IFERROR(INDEX($E$12:$E$21,MATCH(($A244+4),$E$12:$E$21,1)+1),INDEX($E$12:$E$21,MATCH(($A244+4),$E$12:$E$21,1))+1)-INDEX($E$12:$E$21,MATCH(($A244+4),$E$12:$E$21,1)))=0,1,IFERROR(INDEX($E$12:$E$21,MATCH(($A244+4),$E$12:$E$21,1)+1),INDEX($E$12:$E$21,MATCH(($A244+4),$E$12:$E$21,1))+1)-INDEX($E$12:$E$21,MATCH(($A244+4),$E$12:$E$21,1)))),$F$12))</f>
        <v/>
      </c>
      <c r="G244" s="30" t="str">
        <f>IF(($A244+5)&gt;$B$11, "", IFERROR((INDEX($F$12:$F$21,MATCH(($A244+5),$E$12:$E$21,1))+(($A244+5)-INDEX($E$12:$E$21,MATCH(($A244+5),$E$12:$E$21,1)))*(IFERROR(INDEX($F$12:$F$21,MATCH(($A244+5),$E$12:$E$21,1)+1),INDEX($F$12:$F$21,MATCH(($A244+5),$E$12:$E$21,1)))-INDEX($F$12:$F$21,MATCH(($A244+5),$E$12:$E$21,1)))/IF((IFERROR(INDEX($E$12:$E$21,MATCH(($A244+5),$E$12:$E$21,1)+1),INDEX($E$12:$E$21,MATCH(($A244+5),$E$12:$E$21,1))+1)-INDEX($E$12:$E$21,MATCH(($A244+5),$E$12:$E$21,1)))=0,1,IFERROR(INDEX($E$12:$E$21,MATCH(($A244+5),$E$12:$E$21,1)+1),INDEX($E$12:$E$21,MATCH(($A244+5),$E$12:$E$21,1))+1)-INDEX($E$12:$E$21,MATCH(($A244+5),$E$12:$E$21,1)))),$F$12))</f>
        <v/>
      </c>
      <c r="H244" s="30" t="str">
        <f>IF(($A244+6)&gt;$B$11, "", IFERROR((INDEX($F$12:$F$21,MATCH(($A244+6),$E$12:$E$21,1))+(($A244+6)-INDEX($E$12:$E$21,MATCH(($A244+6),$E$12:$E$21,1)))*(IFERROR(INDEX($F$12:$F$21,MATCH(($A244+6),$E$12:$E$21,1)+1),INDEX($F$12:$F$21,MATCH(($A244+6),$E$12:$E$21,1)))-INDEX($F$12:$F$21,MATCH(($A244+6),$E$12:$E$21,1)))/IF((IFERROR(INDEX($E$12:$E$21,MATCH(($A244+6),$E$12:$E$21,1)+1),INDEX($E$12:$E$21,MATCH(($A244+6),$E$12:$E$21,1))+1)-INDEX($E$12:$E$21,MATCH(($A244+6),$E$12:$E$21,1)))=0,1,IFERROR(INDEX($E$12:$E$21,MATCH(($A244+6),$E$12:$E$21,1)+1),INDEX($E$12:$E$21,MATCH(($A244+6),$E$12:$E$21,1))+1)-INDEX($E$12:$E$21,MATCH(($A244+6),$E$12:$E$21,1)))),$F$12))</f>
        <v/>
      </c>
      <c r="I244" s="30" t="str">
        <f>IF(($A244+7)&gt;$B$11, "", IFERROR((INDEX($F$12:$F$21,MATCH(($A244+7),$E$12:$E$21,1))+(($A244+7)-INDEX($E$12:$E$21,MATCH(($A244+7),$E$12:$E$21,1)))*(IFERROR(INDEX($F$12:$F$21,MATCH(($A244+7),$E$12:$E$21,1)+1),INDEX($F$12:$F$21,MATCH(($A244+7),$E$12:$E$21,1)))-INDEX($F$12:$F$21,MATCH(($A244+7),$E$12:$E$21,1)))/IF((IFERROR(INDEX($E$12:$E$21,MATCH(($A244+7),$E$12:$E$21,1)+1),INDEX($E$12:$E$21,MATCH(($A244+7),$E$12:$E$21,1))+1)-INDEX($E$12:$E$21,MATCH(($A244+7),$E$12:$E$21,1)))=0,1,IFERROR(INDEX($E$12:$E$21,MATCH(($A244+7),$E$12:$E$21,1)+1),INDEX($E$12:$E$21,MATCH(($A244+7),$E$12:$E$21,1))+1)-INDEX($E$12:$E$21,MATCH(($A244+7),$E$12:$E$21,1)))),$F$12))</f>
        <v/>
      </c>
      <c r="J244" s="30" t="str">
        <f>IF(($A244+8)&gt;$B$11, "", IFERROR((INDEX($F$12:$F$21,MATCH(($A244+8),$E$12:$E$21,1))+(($A244+8)-INDEX($E$12:$E$21,MATCH(($A244+8),$E$12:$E$21,1)))*(IFERROR(INDEX($F$12:$F$21,MATCH(($A244+8),$E$12:$E$21,1)+1),INDEX($F$12:$F$21,MATCH(($A244+8),$E$12:$E$21,1)))-INDEX($F$12:$F$21,MATCH(($A244+8),$E$12:$E$21,1)))/IF((IFERROR(INDEX($E$12:$E$21,MATCH(($A244+8),$E$12:$E$21,1)+1),INDEX($E$12:$E$21,MATCH(($A244+8),$E$12:$E$21,1))+1)-INDEX($E$12:$E$21,MATCH(($A244+8),$E$12:$E$21,1)))=0,1,IFERROR(INDEX($E$12:$E$21,MATCH(($A244+8),$E$12:$E$21,1)+1),INDEX($E$12:$E$21,MATCH(($A244+8),$E$12:$E$21,1))+1)-INDEX($E$12:$E$21,MATCH(($A244+8),$E$12:$E$21,1)))),$F$12))</f>
        <v/>
      </c>
      <c r="K244" s="30" t="str">
        <f>IF(($A244+9)&gt;$B$11, "", IFERROR((INDEX($F$12:$F$21,MATCH(($A244+9),$E$12:$E$21,1))+(($A244+9)-INDEX($E$12:$E$21,MATCH(($A244+9),$E$12:$E$21,1)))*(IFERROR(INDEX($F$12:$F$21,MATCH(($A244+9),$E$12:$E$21,1)+1),INDEX($F$12:$F$21,MATCH(($A244+9),$E$12:$E$21,1)))-INDEX($F$12:$F$21,MATCH(($A244+9),$E$12:$E$21,1)))/IF((IFERROR(INDEX($E$12:$E$21,MATCH(($A244+9),$E$12:$E$21,1)+1),INDEX($E$12:$E$21,MATCH(($A244+9),$E$12:$E$21,1))+1)-INDEX($E$12:$E$21,MATCH(($A244+9),$E$12:$E$21,1)))=0,1,IFERROR(INDEX($E$12:$E$21,MATCH(($A244+9),$E$12:$E$21,1)+1),INDEX($E$12:$E$21,MATCH(($A244+9),$E$12:$E$21,1))+1)-INDEX($E$12:$E$21,MATCH(($A244+9),$E$12:$E$21,1)))),$F$12))</f>
        <v/>
      </c>
    </row>
    <row r="245">
      <c r="A245" s="11">
        <v>470</v>
      </c>
      <c r="B245" s="30" t="str">
        <f>IF(($A245+0)&gt;$B$11, "", IFERROR((INDEX($F$12:$F$21,MATCH(($A245+0),$E$12:$E$21,1))+(($A245+0)-INDEX($E$12:$E$21,MATCH(($A245+0),$E$12:$E$21,1)))*(IFERROR(INDEX($F$12:$F$21,MATCH(($A245+0),$E$12:$E$21,1)+1),INDEX($F$12:$F$21,MATCH(($A245+0),$E$12:$E$21,1)))-INDEX($F$12:$F$21,MATCH(($A245+0),$E$12:$E$21,1)))/IF((IFERROR(INDEX($E$12:$E$21,MATCH(($A245+0),$E$12:$E$21,1)+1),INDEX($E$12:$E$21,MATCH(($A245+0),$E$12:$E$21,1))+1)-INDEX($E$12:$E$21,MATCH(($A245+0),$E$12:$E$21,1)))=0,1,IFERROR(INDEX($E$12:$E$21,MATCH(($A245+0),$E$12:$E$21,1)+1),INDEX($E$12:$E$21,MATCH(($A245+0),$E$12:$E$21,1))+1)-INDEX($E$12:$E$21,MATCH(($A245+0),$E$12:$E$21,1)))),$F$12))</f>
        <v/>
      </c>
      <c r="C245" s="30" t="str">
        <f>IF(($A245+1)&gt;$B$11, "", IFERROR((INDEX($F$12:$F$21,MATCH(($A245+1),$E$12:$E$21,1))+(($A245+1)-INDEX($E$12:$E$21,MATCH(($A245+1),$E$12:$E$21,1)))*(IFERROR(INDEX($F$12:$F$21,MATCH(($A245+1),$E$12:$E$21,1)+1),INDEX($F$12:$F$21,MATCH(($A245+1),$E$12:$E$21,1)))-INDEX($F$12:$F$21,MATCH(($A245+1),$E$12:$E$21,1)))/IF((IFERROR(INDEX($E$12:$E$21,MATCH(($A245+1),$E$12:$E$21,1)+1),INDEX($E$12:$E$21,MATCH(($A245+1),$E$12:$E$21,1))+1)-INDEX($E$12:$E$21,MATCH(($A245+1),$E$12:$E$21,1)))=0,1,IFERROR(INDEX($E$12:$E$21,MATCH(($A245+1),$E$12:$E$21,1)+1),INDEX($E$12:$E$21,MATCH(($A245+1),$E$12:$E$21,1))+1)-INDEX($E$12:$E$21,MATCH(($A245+1),$E$12:$E$21,1)))),$F$12))</f>
        <v/>
      </c>
      <c r="D245" s="30" t="str">
        <f>IF(($A245+2)&gt;$B$11, "", IFERROR((INDEX($F$12:$F$21,MATCH(($A245+2),$E$12:$E$21,1))+(($A245+2)-INDEX($E$12:$E$21,MATCH(($A245+2),$E$12:$E$21,1)))*(IFERROR(INDEX($F$12:$F$21,MATCH(($A245+2),$E$12:$E$21,1)+1),INDEX($F$12:$F$21,MATCH(($A245+2),$E$12:$E$21,1)))-INDEX($F$12:$F$21,MATCH(($A245+2),$E$12:$E$21,1)))/IF((IFERROR(INDEX($E$12:$E$21,MATCH(($A245+2),$E$12:$E$21,1)+1),INDEX($E$12:$E$21,MATCH(($A245+2),$E$12:$E$21,1))+1)-INDEX($E$12:$E$21,MATCH(($A245+2),$E$12:$E$21,1)))=0,1,IFERROR(INDEX($E$12:$E$21,MATCH(($A245+2),$E$12:$E$21,1)+1),INDEX($E$12:$E$21,MATCH(($A245+2),$E$12:$E$21,1))+1)-INDEX($E$12:$E$21,MATCH(($A245+2),$E$12:$E$21,1)))),$F$12))</f>
        <v/>
      </c>
      <c r="E245" s="30" t="str">
        <f>IF(($A245+3)&gt;$B$11, "", IFERROR((INDEX($F$12:$F$21,MATCH(($A245+3),$E$12:$E$21,1))+(($A245+3)-INDEX($E$12:$E$21,MATCH(($A245+3),$E$12:$E$21,1)))*(IFERROR(INDEX($F$12:$F$21,MATCH(($A245+3),$E$12:$E$21,1)+1),INDEX($F$12:$F$21,MATCH(($A245+3),$E$12:$E$21,1)))-INDEX($F$12:$F$21,MATCH(($A245+3),$E$12:$E$21,1)))/IF((IFERROR(INDEX($E$12:$E$21,MATCH(($A245+3),$E$12:$E$21,1)+1),INDEX($E$12:$E$21,MATCH(($A245+3),$E$12:$E$21,1))+1)-INDEX($E$12:$E$21,MATCH(($A245+3),$E$12:$E$21,1)))=0,1,IFERROR(INDEX($E$12:$E$21,MATCH(($A245+3),$E$12:$E$21,1)+1),INDEX($E$12:$E$21,MATCH(($A245+3),$E$12:$E$21,1))+1)-INDEX($E$12:$E$21,MATCH(($A245+3),$E$12:$E$21,1)))),$F$12))</f>
        <v/>
      </c>
      <c r="F245" s="30" t="str">
        <f>IF(($A245+4)&gt;$B$11, "", IFERROR((INDEX($F$12:$F$21,MATCH(($A245+4),$E$12:$E$21,1))+(($A245+4)-INDEX($E$12:$E$21,MATCH(($A245+4),$E$12:$E$21,1)))*(IFERROR(INDEX($F$12:$F$21,MATCH(($A245+4),$E$12:$E$21,1)+1),INDEX($F$12:$F$21,MATCH(($A245+4),$E$12:$E$21,1)))-INDEX($F$12:$F$21,MATCH(($A245+4),$E$12:$E$21,1)))/IF((IFERROR(INDEX($E$12:$E$21,MATCH(($A245+4),$E$12:$E$21,1)+1),INDEX($E$12:$E$21,MATCH(($A245+4),$E$12:$E$21,1))+1)-INDEX($E$12:$E$21,MATCH(($A245+4),$E$12:$E$21,1)))=0,1,IFERROR(INDEX($E$12:$E$21,MATCH(($A245+4),$E$12:$E$21,1)+1),INDEX($E$12:$E$21,MATCH(($A245+4),$E$12:$E$21,1))+1)-INDEX($E$12:$E$21,MATCH(($A245+4),$E$12:$E$21,1)))),$F$12))</f>
        <v/>
      </c>
      <c r="G245" s="30" t="str">
        <f>IF(($A245+5)&gt;$B$11, "", IFERROR((INDEX($F$12:$F$21,MATCH(($A245+5),$E$12:$E$21,1))+(($A245+5)-INDEX($E$12:$E$21,MATCH(($A245+5),$E$12:$E$21,1)))*(IFERROR(INDEX($F$12:$F$21,MATCH(($A245+5),$E$12:$E$21,1)+1),INDEX($F$12:$F$21,MATCH(($A245+5),$E$12:$E$21,1)))-INDEX($F$12:$F$21,MATCH(($A245+5),$E$12:$E$21,1)))/IF((IFERROR(INDEX($E$12:$E$21,MATCH(($A245+5),$E$12:$E$21,1)+1),INDEX($E$12:$E$21,MATCH(($A245+5),$E$12:$E$21,1))+1)-INDEX($E$12:$E$21,MATCH(($A245+5),$E$12:$E$21,1)))=0,1,IFERROR(INDEX($E$12:$E$21,MATCH(($A245+5),$E$12:$E$21,1)+1),INDEX($E$12:$E$21,MATCH(($A245+5),$E$12:$E$21,1))+1)-INDEX($E$12:$E$21,MATCH(($A245+5),$E$12:$E$21,1)))),$F$12))</f>
        <v/>
      </c>
      <c r="H245" s="30" t="str">
        <f>IF(($A245+6)&gt;$B$11, "", IFERROR((INDEX($F$12:$F$21,MATCH(($A245+6),$E$12:$E$21,1))+(($A245+6)-INDEX($E$12:$E$21,MATCH(($A245+6),$E$12:$E$21,1)))*(IFERROR(INDEX($F$12:$F$21,MATCH(($A245+6),$E$12:$E$21,1)+1),INDEX($F$12:$F$21,MATCH(($A245+6),$E$12:$E$21,1)))-INDEX($F$12:$F$21,MATCH(($A245+6),$E$12:$E$21,1)))/IF((IFERROR(INDEX($E$12:$E$21,MATCH(($A245+6),$E$12:$E$21,1)+1),INDEX($E$12:$E$21,MATCH(($A245+6),$E$12:$E$21,1))+1)-INDEX($E$12:$E$21,MATCH(($A245+6),$E$12:$E$21,1)))=0,1,IFERROR(INDEX($E$12:$E$21,MATCH(($A245+6),$E$12:$E$21,1)+1),INDEX($E$12:$E$21,MATCH(($A245+6),$E$12:$E$21,1))+1)-INDEX($E$12:$E$21,MATCH(($A245+6),$E$12:$E$21,1)))),$F$12))</f>
        <v/>
      </c>
      <c r="I245" s="30" t="str">
        <f>IF(($A245+7)&gt;$B$11, "", IFERROR((INDEX($F$12:$F$21,MATCH(($A245+7),$E$12:$E$21,1))+(($A245+7)-INDEX($E$12:$E$21,MATCH(($A245+7),$E$12:$E$21,1)))*(IFERROR(INDEX($F$12:$F$21,MATCH(($A245+7),$E$12:$E$21,1)+1),INDEX($F$12:$F$21,MATCH(($A245+7),$E$12:$E$21,1)))-INDEX($F$12:$F$21,MATCH(($A245+7),$E$12:$E$21,1)))/IF((IFERROR(INDEX($E$12:$E$21,MATCH(($A245+7),$E$12:$E$21,1)+1),INDEX($E$12:$E$21,MATCH(($A245+7),$E$12:$E$21,1))+1)-INDEX($E$12:$E$21,MATCH(($A245+7),$E$12:$E$21,1)))=0,1,IFERROR(INDEX($E$12:$E$21,MATCH(($A245+7),$E$12:$E$21,1)+1),INDEX($E$12:$E$21,MATCH(($A245+7),$E$12:$E$21,1))+1)-INDEX($E$12:$E$21,MATCH(($A245+7),$E$12:$E$21,1)))),$F$12))</f>
        <v/>
      </c>
      <c r="J245" s="30" t="str">
        <f>IF(($A245+8)&gt;$B$11, "", IFERROR((INDEX($F$12:$F$21,MATCH(($A245+8),$E$12:$E$21,1))+(($A245+8)-INDEX($E$12:$E$21,MATCH(($A245+8),$E$12:$E$21,1)))*(IFERROR(INDEX($F$12:$F$21,MATCH(($A245+8),$E$12:$E$21,1)+1),INDEX($F$12:$F$21,MATCH(($A245+8),$E$12:$E$21,1)))-INDEX($F$12:$F$21,MATCH(($A245+8),$E$12:$E$21,1)))/IF((IFERROR(INDEX($E$12:$E$21,MATCH(($A245+8),$E$12:$E$21,1)+1),INDEX($E$12:$E$21,MATCH(($A245+8),$E$12:$E$21,1))+1)-INDEX($E$12:$E$21,MATCH(($A245+8),$E$12:$E$21,1)))=0,1,IFERROR(INDEX($E$12:$E$21,MATCH(($A245+8),$E$12:$E$21,1)+1),INDEX($E$12:$E$21,MATCH(($A245+8),$E$12:$E$21,1))+1)-INDEX($E$12:$E$21,MATCH(($A245+8),$E$12:$E$21,1)))),$F$12))</f>
        <v/>
      </c>
      <c r="K245" s="30" t="str">
        <f>IF(($A245+9)&gt;$B$11, "", IFERROR((INDEX($F$12:$F$21,MATCH(($A245+9),$E$12:$E$21,1))+(($A245+9)-INDEX($E$12:$E$21,MATCH(($A245+9),$E$12:$E$21,1)))*(IFERROR(INDEX($F$12:$F$21,MATCH(($A245+9),$E$12:$E$21,1)+1),INDEX($F$12:$F$21,MATCH(($A245+9),$E$12:$E$21,1)))-INDEX($F$12:$F$21,MATCH(($A245+9),$E$12:$E$21,1)))/IF((IFERROR(INDEX($E$12:$E$21,MATCH(($A245+9),$E$12:$E$21,1)+1),INDEX($E$12:$E$21,MATCH(($A245+9),$E$12:$E$21,1))+1)-INDEX($E$12:$E$21,MATCH(($A245+9),$E$12:$E$21,1)))=0,1,IFERROR(INDEX($E$12:$E$21,MATCH(($A245+9),$E$12:$E$21,1)+1),INDEX($E$12:$E$21,MATCH(($A245+9),$E$12:$E$21,1))+1)-INDEX($E$12:$E$21,MATCH(($A245+9),$E$12:$E$21,1)))),$F$12))</f>
        <v/>
      </c>
    </row>
    <row r="246">
      <c r="A246" s="11">
        <v>480</v>
      </c>
      <c r="B246" s="30" t="str">
        <f>IF(($A246+0)&gt;$B$11, "", IFERROR((INDEX($F$12:$F$21,MATCH(($A246+0),$E$12:$E$21,1))+(($A246+0)-INDEX($E$12:$E$21,MATCH(($A246+0),$E$12:$E$21,1)))*(IFERROR(INDEX($F$12:$F$21,MATCH(($A246+0),$E$12:$E$21,1)+1),INDEX($F$12:$F$21,MATCH(($A246+0),$E$12:$E$21,1)))-INDEX($F$12:$F$21,MATCH(($A246+0),$E$12:$E$21,1)))/IF((IFERROR(INDEX($E$12:$E$21,MATCH(($A246+0),$E$12:$E$21,1)+1),INDEX($E$12:$E$21,MATCH(($A246+0),$E$12:$E$21,1))+1)-INDEX($E$12:$E$21,MATCH(($A246+0),$E$12:$E$21,1)))=0,1,IFERROR(INDEX($E$12:$E$21,MATCH(($A246+0),$E$12:$E$21,1)+1),INDEX($E$12:$E$21,MATCH(($A246+0),$E$12:$E$21,1))+1)-INDEX($E$12:$E$21,MATCH(($A246+0),$E$12:$E$21,1)))),$F$12))</f>
        <v/>
      </c>
      <c r="C246" s="30" t="str">
        <f>IF(($A246+1)&gt;$B$11, "", IFERROR((INDEX($F$12:$F$21,MATCH(($A246+1),$E$12:$E$21,1))+(($A246+1)-INDEX($E$12:$E$21,MATCH(($A246+1),$E$12:$E$21,1)))*(IFERROR(INDEX($F$12:$F$21,MATCH(($A246+1),$E$12:$E$21,1)+1),INDEX($F$12:$F$21,MATCH(($A246+1),$E$12:$E$21,1)))-INDEX($F$12:$F$21,MATCH(($A246+1),$E$12:$E$21,1)))/IF((IFERROR(INDEX($E$12:$E$21,MATCH(($A246+1),$E$12:$E$21,1)+1),INDEX($E$12:$E$21,MATCH(($A246+1),$E$12:$E$21,1))+1)-INDEX($E$12:$E$21,MATCH(($A246+1),$E$12:$E$21,1)))=0,1,IFERROR(INDEX($E$12:$E$21,MATCH(($A246+1),$E$12:$E$21,1)+1),INDEX($E$12:$E$21,MATCH(($A246+1),$E$12:$E$21,1))+1)-INDEX($E$12:$E$21,MATCH(($A246+1),$E$12:$E$21,1)))),$F$12))</f>
        <v/>
      </c>
      <c r="D246" s="30" t="str">
        <f>IF(($A246+2)&gt;$B$11, "", IFERROR((INDEX($F$12:$F$21,MATCH(($A246+2),$E$12:$E$21,1))+(($A246+2)-INDEX($E$12:$E$21,MATCH(($A246+2),$E$12:$E$21,1)))*(IFERROR(INDEX($F$12:$F$21,MATCH(($A246+2),$E$12:$E$21,1)+1),INDEX($F$12:$F$21,MATCH(($A246+2),$E$12:$E$21,1)))-INDEX($F$12:$F$21,MATCH(($A246+2),$E$12:$E$21,1)))/IF((IFERROR(INDEX($E$12:$E$21,MATCH(($A246+2),$E$12:$E$21,1)+1),INDEX($E$12:$E$21,MATCH(($A246+2),$E$12:$E$21,1))+1)-INDEX($E$12:$E$21,MATCH(($A246+2),$E$12:$E$21,1)))=0,1,IFERROR(INDEX($E$12:$E$21,MATCH(($A246+2),$E$12:$E$21,1)+1),INDEX($E$12:$E$21,MATCH(($A246+2),$E$12:$E$21,1))+1)-INDEX($E$12:$E$21,MATCH(($A246+2),$E$12:$E$21,1)))),$F$12))</f>
        <v/>
      </c>
      <c r="E246" s="30" t="str">
        <f>IF(($A246+3)&gt;$B$11, "", IFERROR((INDEX($F$12:$F$21,MATCH(($A246+3),$E$12:$E$21,1))+(($A246+3)-INDEX($E$12:$E$21,MATCH(($A246+3),$E$12:$E$21,1)))*(IFERROR(INDEX($F$12:$F$21,MATCH(($A246+3),$E$12:$E$21,1)+1),INDEX($F$12:$F$21,MATCH(($A246+3),$E$12:$E$21,1)))-INDEX($F$12:$F$21,MATCH(($A246+3),$E$12:$E$21,1)))/IF((IFERROR(INDEX($E$12:$E$21,MATCH(($A246+3),$E$12:$E$21,1)+1),INDEX($E$12:$E$21,MATCH(($A246+3),$E$12:$E$21,1))+1)-INDEX($E$12:$E$21,MATCH(($A246+3),$E$12:$E$21,1)))=0,1,IFERROR(INDEX($E$12:$E$21,MATCH(($A246+3),$E$12:$E$21,1)+1),INDEX($E$12:$E$21,MATCH(($A246+3),$E$12:$E$21,1))+1)-INDEX($E$12:$E$21,MATCH(($A246+3),$E$12:$E$21,1)))),$F$12))</f>
        <v/>
      </c>
      <c r="F246" s="30" t="str">
        <f>IF(($A246+4)&gt;$B$11, "", IFERROR((INDEX($F$12:$F$21,MATCH(($A246+4),$E$12:$E$21,1))+(($A246+4)-INDEX($E$12:$E$21,MATCH(($A246+4),$E$12:$E$21,1)))*(IFERROR(INDEX($F$12:$F$21,MATCH(($A246+4),$E$12:$E$21,1)+1),INDEX($F$12:$F$21,MATCH(($A246+4),$E$12:$E$21,1)))-INDEX($F$12:$F$21,MATCH(($A246+4),$E$12:$E$21,1)))/IF((IFERROR(INDEX($E$12:$E$21,MATCH(($A246+4),$E$12:$E$21,1)+1),INDEX($E$12:$E$21,MATCH(($A246+4),$E$12:$E$21,1))+1)-INDEX($E$12:$E$21,MATCH(($A246+4),$E$12:$E$21,1)))=0,1,IFERROR(INDEX($E$12:$E$21,MATCH(($A246+4),$E$12:$E$21,1)+1),INDEX($E$12:$E$21,MATCH(($A246+4),$E$12:$E$21,1))+1)-INDEX($E$12:$E$21,MATCH(($A246+4),$E$12:$E$21,1)))),$F$12))</f>
        <v/>
      </c>
      <c r="G246" s="30" t="str">
        <f>IF(($A246+5)&gt;$B$11, "", IFERROR((INDEX($F$12:$F$21,MATCH(($A246+5),$E$12:$E$21,1))+(($A246+5)-INDEX($E$12:$E$21,MATCH(($A246+5),$E$12:$E$21,1)))*(IFERROR(INDEX($F$12:$F$21,MATCH(($A246+5),$E$12:$E$21,1)+1),INDEX($F$12:$F$21,MATCH(($A246+5),$E$12:$E$21,1)))-INDEX($F$12:$F$21,MATCH(($A246+5),$E$12:$E$21,1)))/IF((IFERROR(INDEX($E$12:$E$21,MATCH(($A246+5),$E$12:$E$21,1)+1),INDEX($E$12:$E$21,MATCH(($A246+5),$E$12:$E$21,1))+1)-INDEX($E$12:$E$21,MATCH(($A246+5),$E$12:$E$21,1)))=0,1,IFERROR(INDEX($E$12:$E$21,MATCH(($A246+5),$E$12:$E$21,1)+1),INDEX($E$12:$E$21,MATCH(($A246+5),$E$12:$E$21,1))+1)-INDEX($E$12:$E$21,MATCH(($A246+5),$E$12:$E$21,1)))),$F$12))</f>
        <v/>
      </c>
      <c r="H246" s="30" t="str">
        <f>IF(($A246+6)&gt;$B$11, "", IFERROR((INDEX($F$12:$F$21,MATCH(($A246+6),$E$12:$E$21,1))+(($A246+6)-INDEX($E$12:$E$21,MATCH(($A246+6),$E$12:$E$21,1)))*(IFERROR(INDEX($F$12:$F$21,MATCH(($A246+6),$E$12:$E$21,1)+1),INDEX($F$12:$F$21,MATCH(($A246+6),$E$12:$E$21,1)))-INDEX($F$12:$F$21,MATCH(($A246+6),$E$12:$E$21,1)))/IF((IFERROR(INDEX($E$12:$E$21,MATCH(($A246+6),$E$12:$E$21,1)+1),INDEX($E$12:$E$21,MATCH(($A246+6),$E$12:$E$21,1))+1)-INDEX($E$12:$E$21,MATCH(($A246+6),$E$12:$E$21,1)))=0,1,IFERROR(INDEX($E$12:$E$21,MATCH(($A246+6),$E$12:$E$21,1)+1),INDEX($E$12:$E$21,MATCH(($A246+6),$E$12:$E$21,1))+1)-INDEX($E$12:$E$21,MATCH(($A246+6),$E$12:$E$21,1)))),$F$12))</f>
        <v/>
      </c>
      <c r="I246" s="30" t="str">
        <f>IF(($A246+7)&gt;$B$11, "", IFERROR((INDEX($F$12:$F$21,MATCH(($A246+7),$E$12:$E$21,1))+(($A246+7)-INDEX($E$12:$E$21,MATCH(($A246+7),$E$12:$E$21,1)))*(IFERROR(INDEX($F$12:$F$21,MATCH(($A246+7),$E$12:$E$21,1)+1),INDEX($F$12:$F$21,MATCH(($A246+7),$E$12:$E$21,1)))-INDEX($F$12:$F$21,MATCH(($A246+7),$E$12:$E$21,1)))/IF((IFERROR(INDEX($E$12:$E$21,MATCH(($A246+7),$E$12:$E$21,1)+1),INDEX($E$12:$E$21,MATCH(($A246+7),$E$12:$E$21,1))+1)-INDEX($E$12:$E$21,MATCH(($A246+7),$E$12:$E$21,1)))=0,1,IFERROR(INDEX($E$12:$E$21,MATCH(($A246+7),$E$12:$E$21,1)+1),INDEX($E$12:$E$21,MATCH(($A246+7),$E$12:$E$21,1))+1)-INDEX($E$12:$E$21,MATCH(($A246+7),$E$12:$E$21,1)))),$F$12))</f>
        <v/>
      </c>
      <c r="J246" s="30" t="str">
        <f>IF(($A246+8)&gt;$B$11, "", IFERROR((INDEX($F$12:$F$21,MATCH(($A246+8),$E$12:$E$21,1))+(($A246+8)-INDEX($E$12:$E$21,MATCH(($A246+8),$E$12:$E$21,1)))*(IFERROR(INDEX($F$12:$F$21,MATCH(($A246+8),$E$12:$E$21,1)+1),INDEX($F$12:$F$21,MATCH(($A246+8),$E$12:$E$21,1)))-INDEX($F$12:$F$21,MATCH(($A246+8),$E$12:$E$21,1)))/IF((IFERROR(INDEX($E$12:$E$21,MATCH(($A246+8),$E$12:$E$21,1)+1),INDEX($E$12:$E$21,MATCH(($A246+8),$E$12:$E$21,1))+1)-INDEX($E$12:$E$21,MATCH(($A246+8),$E$12:$E$21,1)))=0,1,IFERROR(INDEX($E$12:$E$21,MATCH(($A246+8),$E$12:$E$21,1)+1),INDEX($E$12:$E$21,MATCH(($A246+8),$E$12:$E$21,1))+1)-INDEX($E$12:$E$21,MATCH(($A246+8),$E$12:$E$21,1)))),$F$12))</f>
        <v/>
      </c>
      <c r="K246" s="30" t="str">
        <f>IF(($A246+9)&gt;$B$11, "", IFERROR((INDEX($F$12:$F$21,MATCH(($A246+9),$E$12:$E$21,1))+(($A246+9)-INDEX($E$12:$E$21,MATCH(($A246+9),$E$12:$E$21,1)))*(IFERROR(INDEX($F$12:$F$21,MATCH(($A246+9),$E$12:$E$21,1)+1),INDEX($F$12:$F$21,MATCH(($A246+9),$E$12:$E$21,1)))-INDEX($F$12:$F$21,MATCH(($A246+9),$E$12:$E$21,1)))/IF((IFERROR(INDEX($E$12:$E$21,MATCH(($A246+9),$E$12:$E$21,1)+1),INDEX($E$12:$E$21,MATCH(($A246+9),$E$12:$E$21,1))+1)-INDEX($E$12:$E$21,MATCH(($A246+9),$E$12:$E$21,1)))=0,1,IFERROR(INDEX($E$12:$E$21,MATCH(($A246+9),$E$12:$E$21,1)+1),INDEX($E$12:$E$21,MATCH(($A246+9),$E$12:$E$21,1))+1)-INDEX($E$12:$E$21,MATCH(($A246+9),$E$12:$E$21,1)))),$F$12))</f>
        <v/>
      </c>
    </row>
    <row r="247">
      <c r="A247" s="11">
        <v>490</v>
      </c>
      <c r="B247" s="30" t="str">
        <f>IF(($A247+0)&gt;$B$11, "", IFERROR((INDEX($F$12:$F$21,MATCH(($A247+0),$E$12:$E$21,1))+(($A247+0)-INDEX($E$12:$E$21,MATCH(($A247+0),$E$12:$E$21,1)))*(IFERROR(INDEX($F$12:$F$21,MATCH(($A247+0),$E$12:$E$21,1)+1),INDEX($F$12:$F$21,MATCH(($A247+0),$E$12:$E$21,1)))-INDEX($F$12:$F$21,MATCH(($A247+0),$E$12:$E$21,1)))/IF((IFERROR(INDEX($E$12:$E$21,MATCH(($A247+0),$E$12:$E$21,1)+1),INDEX($E$12:$E$21,MATCH(($A247+0),$E$12:$E$21,1))+1)-INDEX($E$12:$E$21,MATCH(($A247+0),$E$12:$E$21,1)))=0,1,IFERROR(INDEX($E$12:$E$21,MATCH(($A247+0),$E$12:$E$21,1)+1),INDEX($E$12:$E$21,MATCH(($A247+0),$E$12:$E$21,1))+1)-INDEX($E$12:$E$21,MATCH(($A247+0),$E$12:$E$21,1)))),$F$12))</f>
        <v/>
      </c>
      <c r="C247" s="30" t="str">
        <f>IF(($A247+1)&gt;$B$11, "", IFERROR((INDEX($F$12:$F$21,MATCH(($A247+1),$E$12:$E$21,1))+(($A247+1)-INDEX($E$12:$E$21,MATCH(($A247+1),$E$12:$E$21,1)))*(IFERROR(INDEX($F$12:$F$21,MATCH(($A247+1),$E$12:$E$21,1)+1),INDEX($F$12:$F$21,MATCH(($A247+1),$E$12:$E$21,1)))-INDEX($F$12:$F$21,MATCH(($A247+1),$E$12:$E$21,1)))/IF((IFERROR(INDEX($E$12:$E$21,MATCH(($A247+1),$E$12:$E$21,1)+1),INDEX($E$12:$E$21,MATCH(($A247+1),$E$12:$E$21,1))+1)-INDEX($E$12:$E$21,MATCH(($A247+1),$E$12:$E$21,1)))=0,1,IFERROR(INDEX($E$12:$E$21,MATCH(($A247+1),$E$12:$E$21,1)+1),INDEX($E$12:$E$21,MATCH(($A247+1),$E$12:$E$21,1))+1)-INDEX($E$12:$E$21,MATCH(($A247+1),$E$12:$E$21,1)))),$F$12))</f>
        <v/>
      </c>
      <c r="D247" s="30" t="str">
        <f>IF(($A247+2)&gt;$B$11, "", IFERROR((INDEX($F$12:$F$21,MATCH(($A247+2),$E$12:$E$21,1))+(($A247+2)-INDEX($E$12:$E$21,MATCH(($A247+2),$E$12:$E$21,1)))*(IFERROR(INDEX($F$12:$F$21,MATCH(($A247+2),$E$12:$E$21,1)+1),INDEX($F$12:$F$21,MATCH(($A247+2),$E$12:$E$21,1)))-INDEX($F$12:$F$21,MATCH(($A247+2),$E$12:$E$21,1)))/IF((IFERROR(INDEX($E$12:$E$21,MATCH(($A247+2),$E$12:$E$21,1)+1),INDEX($E$12:$E$21,MATCH(($A247+2),$E$12:$E$21,1))+1)-INDEX($E$12:$E$21,MATCH(($A247+2),$E$12:$E$21,1)))=0,1,IFERROR(INDEX($E$12:$E$21,MATCH(($A247+2),$E$12:$E$21,1)+1),INDEX($E$12:$E$21,MATCH(($A247+2),$E$12:$E$21,1))+1)-INDEX($E$12:$E$21,MATCH(($A247+2),$E$12:$E$21,1)))),$F$12))</f>
        <v/>
      </c>
      <c r="E247" s="30" t="str">
        <f>IF(($A247+3)&gt;$B$11, "", IFERROR((INDEX($F$12:$F$21,MATCH(($A247+3),$E$12:$E$21,1))+(($A247+3)-INDEX($E$12:$E$21,MATCH(($A247+3),$E$12:$E$21,1)))*(IFERROR(INDEX($F$12:$F$21,MATCH(($A247+3),$E$12:$E$21,1)+1),INDEX($F$12:$F$21,MATCH(($A247+3),$E$12:$E$21,1)))-INDEX($F$12:$F$21,MATCH(($A247+3),$E$12:$E$21,1)))/IF((IFERROR(INDEX($E$12:$E$21,MATCH(($A247+3),$E$12:$E$21,1)+1),INDEX($E$12:$E$21,MATCH(($A247+3),$E$12:$E$21,1))+1)-INDEX($E$12:$E$21,MATCH(($A247+3),$E$12:$E$21,1)))=0,1,IFERROR(INDEX($E$12:$E$21,MATCH(($A247+3),$E$12:$E$21,1)+1),INDEX($E$12:$E$21,MATCH(($A247+3),$E$12:$E$21,1))+1)-INDEX($E$12:$E$21,MATCH(($A247+3),$E$12:$E$21,1)))),$F$12))</f>
        <v/>
      </c>
      <c r="F247" s="30" t="str">
        <f>IF(($A247+4)&gt;$B$11, "", IFERROR((INDEX($F$12:$F$21,MATCH(($A247+4),$E$12:$E$21,1))+(($A247+4)-INDEX($E$12:$E$21,MATCH(($A247+4),$E$12:$E$21,1)))*(IFERROR(INDEX($F$12:$F$21,MATCH(($A247+4),$E$12:$E$21,1)+1),INDEX($F$12:$F$21,MATCH(($A247+4),$E$12:$E$21,1)))-INDEX($F$12:$F$21,MATCH(($A247+4),$E$12:$E$21,1)))/IF((IFERROR(INDEX($E$12:$E$21,MATCH(($A247+4),$E$12:$E$21,1)+1),INDEX($E$12:$E$21,MATCH(($A247+4),$E$12:$E$21,1))+1)-INDEX($E$12:$E$21,MATCH(($A247+4),$E$12:$E$21,1)))=0,1,IFERROR(INDEX($E$12:$E$21,MATCH(($A247+4),$E$12:$E$21,1)+1),INDEX($E$12:$E$21,MATCH(($A247+4),$E$12:$E$21,1))+1)-INDEX($E$12:$E$21,MATCH(($A247+4),$E$12:$E$21,1)))),$F$12))</f>
        <v/>
      </c>
      <c r="G247" s="30" t="str">
        <f>IF(($A247+5)&gt;$B$11, "", IFERROR((INDEX($F$12:$F$21,MATCH(($A247+5),$E$12:$E$21,1))+(($A247+5)-INDEX($E$12:$E$21,MATCH(($A247+5),$E$12:$E$21,1)))*(IFERROR(INDEX($F$12:$F$21,MATCH(($A247+5),$E$12:$E$21,1)+1),INDEX($F$12:$F$21,MATCH(($A247+5),$E$12:$E$21,1)))-INDEX($F$12:$F$21,MATCH(($A247+5),$E$12:$E$21,1)))/IF((IFERROR(INDEX($E$12:$E$21,MATCH(($A247+5),$E$12:$E$21,1)+1),INDEX($E$12:$E$21,MATCH(($A247+5),$E$12:$E$21,1))+1)-INDEX($E$12:$E$21,MATCH(($A247+5),$E$12:$E$21,1)))=0,1,IFERROR(INDEX($E$12:$E$21,MATCH(($A247+5),$E$12:$E$21,1)+1),INDEX($E$12:$E$21,MATCH(($A247+5),$E$12:$E$21,1))+1)-INDEX($E$12:$E$21,MATCH(($A247+5),$E$12:$E$21,1)))),$F$12))</f>
        <v/>
      </c>
      <c r="H247" s="30" t="str">
        <f>IF(($A247+6)&gt;$B$11, "", IFERROR((INDEX($F$12:$F$21,MATCH(($A247+6),$E$12:$E$21,1))+(($A247+6)-INDEX($E$12:$E$21,MATCH(($A247+6),$E$12:$E$21,1)))*(IFERROR(INDEX($F$12:$F$21,MATCH(($A247+6),$E$12:$E$21,1)+1),INDEX($F$12:$F$21,MATCH(($A247+6),$E$12:$E$21,1)))-INDEX($F$12:$F$21,MATCH(($A247+6),$E$12:$E$21,1)))/IF((IFERROR(INDEX($E$12:$E$21,MATCH(($A247+6),$E$12:$E$21,1)+1),INDEX($E$12:$E$21,MATCH(($A247+6),$E$12:$E$21,1))+1)-INDEX($E$12:$E$21,MATCH(($A247+6),$E$12:$E$21,1)))=0,1,IFERROR(INDEX($E$12:$E$21,MATCH(($A247+6),$E$12:$E$21,1)+1),INDEX($E$12:$E$21,MATCH(($A247+6),$E$12:$E$21,1))+1)-INDEX($E$12:$E$21,MATCH(($A247+6),$E$12:$E$21,1)))),$F$12))</f>
        <v/>
      </c>
      <c r="I247" s="30" t="str">
        <f>IF(($A247+7)&gt;$B$11, "", IFERROR((INDEX($F$12:$F$21,MATCH(($A247+7),$E$12:$E$21,1))+(($A247+7)-INDEX($E$12:$E$21,MATCH(($A247+7),$E$12:$E$21,1)))*(IFERROR(INDEX($F$12:$F$21,MATCH(($A247+7),$E$12:$E$21,1)+1),INDEX($F$12:$F$21,MATCH(($A247+7),$E$12:$E$21,1)))-INDEX($F$12:$F$21,MATCH(($A247+7),$E$12:$E$21,1)))/IF((IFERROR(INDEX($E$12:$E$21,MATCH(($A247+7),$E$12:$E$21,1)+1),INDEX($E$12:$E$21,MATCH(($A247+7),$E$12:$E$21,1))+1)-INDEX($E$12:$E$21,MATCH(($A247+7),$E$12:$E$21,1)))=0,1,IFERROR(INDEX($E$12:$E$21,MATCH(($A247+7),$E$12:$E$21,1)+1),INDEX($E$12:$E$21,MATCH(($A247+7),$E$12:$E$21,1))+1)-INDEX($E$12:$E$21,MATCH(($A247+7),$E$12:$E$21,1)))),$F$12))</f>
        <v/>
      </c>
      <c r="J247" s="30" t="str">
        <f>IF(($A247+8)&gt;$B$11, "", IFERROR((INDEX($F$12:$F$21,MATCH(($A247+8),$E$12:$E$21,1))+(($A247+8)-INDEX($E$12:$E$21,MATCH(($A247+8),$E$12:$E$21,1)))*(IFERROR(INDEX($F$12:$F$21,MATCH(($A247+8),$E$12:$E$21,1)+1),INDEX($F$12:$F$21,MATCH(($A247+8),$E$12:$E$21,1)))-INDEX($F$12:$F$21,MATCH(($A247+8),$E$12:$E$21,1)))/IF((IFERROR(INDEX($E$12:$E$21,MATCH(($A247+8),$E$12:$E$21,1)+1),INDEX($E$12:$E$21,MATCH(($A247+8),$E$12:$E$21,1))+1)-INDEX($E$12:$E$21,MATCH(($A247+8),$E$12:$E$21,1)))=0,1,IFERROR(INDEX($E$12:$E$21,MATCH(($A247+8),$E$12:$E$21,1)+1),INDEX($E$12:$E$21,MATCH(($A247+8),$E$12:$E$21,1))+1)-INDEX($E$12:$E$21,MATCH(($A247+8),$E$12:$E$21,1)))),$F$12))</f>
        <v/>
      </c>
      <c r="K247" s="30" t="str">
        <f>IF(($A247+9)&gt;$B$11, "", IFERROR((INDEX($F$12:$F$21,MATCH(($A247+9),$E$12:$E$21,1))+(($A247+9)-INDEX($E$12:$E$21,MATCH(($A247+9),$E$12:$E$21,1)))*(IFERROR(INDEX($F$12:$F$21,MATCH(($A247+9),$E$12:$E$21,1)+1),INDEX($F$12:$F$21,MATCH(($A247+9),$E$12:$E$21,1)))-INDEX($F$12:$F$21,MATCH(($A247+9),$E$12:$E$21,1)))/IF((IFERROR(INDEX($E$12:$E$21,MATCH(($A247+9),$E$12:$E$21,1)+1),INDEX($E$12:$E$21,MATCH(($A247+9),$E$12:$E$21,1))+1)-INDEX($E$12:$E$21,MATCH(($A247+9),$E$12:$E$21,1)))=0,1,IFERROR(INDEX($E$12:$E$21,MATCH(($A247+9),$E$12:$E$21,1)+1),INDEX($E$12:$E$21,MATCH(($A247+9),$E$12:$E$21,1))+1)-INDEX($E$12:$E$21,MATCH(($A247+9),$E$12:$E$21,1)))),$F$12))</f>
        <v/>
      </c>
    </row>
    <row r="248">
      <c r="A248" s="11">
        <v>500</v>
      </c>
      <c r="B248" s="30" t="str">
        <f>IF(($A248+0)&gt;$B$11, "", IFERROR((INDEX($F$12:$F$21,MATCH(($A248+0),$E$12:$E$21,1))+(($A248+0)-INDEX($E$12:$E$21,MATCH(($A248+0),$E$12:$E$21,1)))*(IFERROR(INDEX($F$12:$F$21,MATCH(($A248+0),$E$12:$E$21,1)+1),INDEX($F$12:$F$21,MATCH(($A248+0),$E$12:$E$21,1)))-INDEX($F$12:$F$21,MATCH(($A248+0),$E$12:$E$21,1)))/IF((IFERROR(INDEX($E$12:$E$21,MATCH(($A248+0),$E$12:$E$21,1)+1),INDEX($E$12:$E$21,MATCH(($A248+0),$E$12:$E$21,1))+1)-INDEX($E$12:$E$21,MATCH(($A248+0),$E$12:$E$21,1)))=0,1,IFERROR(INDEX($E$12:$E$21,MATCH(($A248+0),$E$12:$E$21,1)+1),INDEX($E$12:$E$21,MATCH(($A248+0),$E$12:$E$21,1))+1)-INDEX($E$12:$E$21,MATCH(($A248+0),$E$12:$E$21,1)))),$F$12))</f>
        <v/>
      </c>
      <c r="C248" s="30" t="str">
        <f>IF(($A248+1)&gt;$B$11, "", IFERROR((INDEX($F$12:$F$21,MATCH(($A248+1),$E$12:$E$21,1))+(($A248+1)-INDEX($E$12:$E$21,MATCH(($A248+1),$E$12:$E$21,1)))*(IFERROR(INDEX($F$12:$F$21,MATCH(($A248+1),$E$12:$E$21,1)+1),INDEX($F$12:$F$21,MATCH(($A248+1),$E$12:$E$21,1)))-INDEX($F$12:$F$21,MATCH(($A248+1),$E$12:$E$21,1)))/IF((IFERROR(INDEX($E$12:$E$21,MATCH(($A248+1),$E$12:$E$21,1)+1),INDEX($E$12:$E$21,MATCH(($A248+1),$E$12:$E$21,1))+1)-INDEX($E$12:$E$21,MATCH(($A248+1),$E$12:$E$21,1)))=0,1,IFERROR(INDEX($E$12:$E$21,MATCH(($A248+1),$E$12:$E$21,1)+1),INDEX($E$12:$E$21,MATCH(($A248+1),$E$12:$E$21,1))+1)-INDEX($E$12:$E$21,MATCH(($A248+1),$E$12:$E$21,1)))),$F$12))</f>
        <v/>
      </c>
      <c r="D248" s="30" t="str">
        <f>IF(($A248+2)&gt;$B$11, "", IFERROR((INDEX($F$12:$F$21,MATCH(($A248+2),$E$12:$E$21,1))+(($A248+2)-INDEX($E$12:$E$21,MATCH(($A248+2),$E$12:$E$21,1)))*(IFERROR(INDEX($F$12:$F$21,MATCH(($A248+2),$E$12:$E$21,1)+1),INDEX($F$12:$F$21,MATCH(($A248+2),$E$12:$E$21,1)))-INDEX($F$12:$F$21,MATCH(($A248+2),$E$12:$E$21,1)))/IF((IFERROR(INDEX($E$12:$E$21,MATCH(($A248+2),$E$12:$E$21,1)+1),INDEX($E$12:$E$21,MATCH(($A248+2),$E$12:$E$21,1))+1)-INDEX($E$12:$E$21,MATCH(($A248+2),$E$12:$E$21,1)))=0,1,IFERROR(INDEX($E$12:$E$21,MATCH(($A248+2),$E$12:$E$21,1)+1),INDEX($E$12:$E$21,MATCH(($A248+2),$E$12:$E$21,1))+1)-INDEX($E$12:$E$21,MATCH(($A248+2),$E$12:$E$21,1)))),$F$12))</f>
        <v/>
      </c>
      <c r="E248" s="30" t="str">
        <f>IF(($A248+3)&gt;$B$11, "", IFERROR((INDEX($F$12:$F$21,MATCH(($A248+3),$E$12:$E$21,1))+(($A248+3)-INDEX($E$12:$E$21,MATCH(($A248+3),$E$12:$E$21,1)))*(IFERROR(INDEX($F$12:$F$21,MATCH(($A248+3),$E$12:$E$21,1)+1),INDEX($F$12:$F$21,MATCH(($A248+3),$E$12:$E$21,1)))-INDEX($F$12:$F$21,MATCH(($A248+3),$E$12:$E$21,1)))/IF((IFERROR(INDEX($E$12:$E$21,MATCH(($A248+3),$E$12:$E$21,1)+1),INDEX($E$12:$E$21,MATCH(($A248+3),$E$12:$E$21,1))+1)-INDEX($E$12:$E$21,MATCH(($A248+3),$E$12:$E$21,1)))=0,1,IFERROR(INDEX($E$12:$E$21,MATCH(($A248+3),$E$12:$E$21,1)+1),INDEX($E$12:$E$21,MATCH(($A248+3),$E$12:$E$21,1))+1)-INDEX($E$12:$E$21,MATCH(($A248+3),$E$12:$E$21,1)))),$F$12))</f>
        <v/>
      </c>
      <c r="F248" s="30" t="str">
        <f>IF(($A248+4)&gt;$B$11, "", IFERROR((INDEX($F$12:$F$21,MATCH(($A248+4),$E$12:$E$21,1))+(($A248+4)-INDEX($E$12:$E$21,MATCH(($A248+4),$E$12:$E$21,1)))*(IFERROR(INDEX($F$12:$F$21,MATCH(($A248+4),$E$12:$E$21,1)+1),INDEX($F$12:$F$21,MATCH(($A248+4),$E$12:$E$21,1)))-INDEX($F$12:$F$21,MATCH(($A248+4),$E$12:$E$21,1)))/IF((IFERROR(INDEX($E$12:$E$21,MATCH(($A248+4),$E$12:$E$21,1)+1),INDEX($E$12:$E$21,MATCH(($A248+4),$E$12:$E$21,1))+1)-INDEX($E$12:$E$21,MATCH(($A248+4),$E$12:$E$21,1)))=0,1,IFERROR(INDEX($E$12:$E$21,MATCH(($A248+4),$E$12:$E$21,1)+1),INDEX($E$12:$E$21,MATCH(($A248+4),$E$12:$E$21,1))+1)-INDEX($E$12:$E$21,MATCH(($A248+4),$E$12:$E$21,1)))),$F$12))</f>
        <v/>
      </c>
      <c r="G248" s="30" t="str">
        <f>IF(($A248+5)&gt;$B$11, "", IFERROR((INDEX($F$12:$F$21,MATCH(($A248+5),$E$12:$E$21,1))+(($A248+5)-INDEX($E$12:$E$21,MATCH(($A248+5),$E$12:$E$21,1)))*(IFERROR(INDEX($F$12:$F$21,MATCH(($A248+5),$E$12:$E$21,1)+1),INDEX($F$12:$F$21,MATCH(($A248+5),$E$12:$E$21,1)))-INDEX($F$12:$F$21,MATCH(($A248+5),$E$12:$E$21,1)))/IF((IFERROR(INDEX($E$12:$E$21,MATCH(($A248+5),$E$12:$E$21,1)+1),INDEX($E$12:$E$21,MATCH(($A248+5),$E$12:$E$21,1))+1)-INDEX($E$12:$E$21,MATCH(($A248+5),$E$12:$E$21,1)))=0,1,IFERROR(INDEX($E$12:$E$21,MATCH(($A248+5),$E$12:$E$21,1)+1),INDEX($E$12:$E$21,MATCH(($A248+5),$E$12:$E$21,1))+1)-INDEX($E$12:$E$21,MATCH(($A248+5),$E$12:$E$21,1)))),$F$12))</f>
        <v/>
      </c>
      <c r="H248" s="30" t="str">
        <f>IF(($A248+6)&gt;$B$11, "", IFERROR((INDEX($F$12:$F$21,MATCH(($A248+6),$E$12:$E$21,1))+(($A248+6)-INDEX($E$12:$E$21,MATCH(($A248+6),$E$12:$E$21,1)))*(IFERROR(INDEX($F$12:$F$21,MATCH(($A248+6),$E$12:$E$21,1)+1),INDEX($F$12:$F$21,MATCH(($A248+6),$E$12:$E$21,1)))-INDEX($F$12:$F$21,MATCH(($A248+6),$E$12:$E$21,1)))/IF((IFERROR(INDEX($E$12:$E$21,MATCH(($A248+6),$E$12:$E$21,1)+1),INDEX($E$12:$E$21,MATCH(($A248+6),$E$12:$E$21,1))+1)-INDEX($E$12:$E$21,MATCH(($A248+6),$E$12:$E$21,1)))=0,1,IFERROR(INDEX($E$12:$E$21,MATCH(($A248+6),$E$12:$E$21,1)+1),INDEX($E$12:$E$21,MATCH(($A248+6),$E$12:$E$21,1))+1)-INDEX($E$12:$E$21,MATCH(($A248+6),$E$12:$E$21,1)))),$F$12))</f>
        <v/>
      </c>
      <c r="I248" s="30" t="str">
        <f>IF(($A248+7)&gt;$B$11, "", IFERROR((INDEX($F$12:$F$21,MATCH(($A248+7),$E$12:$E$21,1))+(($A248+7)-INDEX($E$12:$E$21,MATCH(($A248+7),$E$12:$E$21,1)))*(IFERROR(INDEX($F$12:$F$21,MATCH(($A248+7),$E$12:$E$21,1)+1),INDEX($F$12:$F$21,MATCH(($A248+7),$E$12:$E$21,1)))-INDEX($F$12:$F$21,MATCH(($A248+7),$E$12:$E$21,1)))/IF((IFERROR(INDEX($E$12:$E$21,MATCH(($A248+7),$E$12:$E$21,1)+1),INDEX($E$12:$E$21,MATCH(($A248+7),$E$12:$E$21,1))+1)-INDEX($E$12:$E$21,MATCH(($A248+7),$E$12:$E$21,1)))=0,1,IFERROR(INDEX($E$12:$E$21,MATCH(($A248+7),$E$12:$E$21,1)+1),INDEX($E$12:$E$21,MATCH(($A248+7),$E$12:$E$21,1))+1)-INDEX($E$12:$E$21,MATCH(($A248+7),$E$12:$E$21,1)))),$F$12))</f>
        <v/>
      </c>
      <c r="J248" s="30" t="str">
        <f>IF(($A248+8)&gt;$B$11, "", IFERROR((INDEX($F$12:$F$21,MATCH(($A248+8),$E$12:$E$21,1))+(($A248+8)-INDEX($E$12:$E$21,MATCH(($A248+8),$E$12:$E$21,1)))*(IFERROR(INDEX($F$12:$F$21,MATCH(($A248+8),$E$12:$E$21,1)+1),INDEX($F$12:$F$21,MATCH(($A248+8),$E$12:$E$21,1)))-INDEX($F$12:$F$21,MATCH(($A248+8),$E$12:$E$21,1)))/IF((IFERROR(INDEX($E$12:$E$21,MATCH(($A248+8),$E$12:$E$21,1)+1),INDEX($E$12:$E$21,MATCH(($A248+8),$E$12:$E$21,1))+1)-INDEX($E$12:$E$21,MATCH(($A248+8),$E$12:$E$21,1)))=0,1,IFERROR(INDEX($E$12:$E$21,MATCH(($A248+8),$E$12:$E$21,1)+1),INDEX($E$12:$E$21,MATCH(($A248+8),$E$12:$E$21,1))+1)-INDEX($E$12:$E$21,MATCH(($A248+8),$E$12:$E$21,1)))),$F$12))</f>
        <v/>
      </c>
      <c r="K248" s="30" t="str">
        <f>IF(($A248+9)&gt;$B$11, "", IFERROR((INDEX($F$12:$F$21,MATCH(($A248+9),$E$12:$E$21,1))+(($A248+9)-INDEX($E$12:$E$21,MATCH(($A248+9),$E$12:$E$21,1)))*(IFERROR(INDEX($F$12:$F$21,MATCH(($A248+9),$E$12:$E$21,1)+1),INDEX($F$12:$F$21,MATCH(($A248+9),$E$12:$E$21,1)))-INDEX($F$12:$F$21,MATCH(($A248+9),$E$12:$E$21,1)))/IF((IFERROR(INDEX($E$12:$E$21,MATCH(($A248+9),$E$12:$E$21,1)+1),INDEX($E$12:$E$21,MATCH(($A248+9),$E$12:$E$21,1))+1)-INDEX($E$12:$E$21,MATCH(($A248+9),$E$12:$E$21,1)))=0,1,IFERROR(INDEX($E$12:$E$21,MATCH(($A248+9),$E$12:$E$21,1)+1),INDEX($E$12:$E$21,MATCH(($A248+9),$E$12:$E$21,1))+1)-INDEX($E$12:$E$21,MATCH(($A248+9),$E$12:$E$21,1)))),$F$12))</f>
        <v/>
      </c>
    </row>
    <row r="249" ht="15">
      <c r="A249" s="10" t="s">
        <v>24</v>
      </c>
    </row>
    <row r="250">
      <c r="A250" s="8" t="s">
        <v>0</v>
      </c>
      <c r="B250" s="8">
        <v>0</v>
      </c>
      <c r="C250" s="8">
        <v>1</v>
      </c>
      <c r="D250" s="8">
        <v>2</v>
      </c>
      <c r="E250" s="8">
        <v>3</v>
      </c>
      <c r="F250" s="8">
        <v>4</v>
      </c>
      <c r="G250" s="8">
        <v>5</v>
      </c>
      <c r="H250" s="8">
        <v>6</v>
      </c>
      <c r="I250" s="8">
        <v>7</v>
      </c>
      <c r="J250" s="8">
        <v>8</v>
      </c>
      <c r="K250" s="8">
        <v>9</v>
      </c>
    </row>
    <row r="251">
      <c r="A251" s="11">
        <v>0</v>
      </c>
      <c r="B251" s="30">
        <f>IF(($A251+0)&gt;$B$11, "", ($B$9*(($A251+0)/100)+$B$10*(($A251+0)/100)^2))</f>
        <v>0</v>
      </c>
      <c r="C251" s="30">
        <f>IF(($A251+1)&gt;$B$11, "", ($B$9*(($A251+1)/100)+$B$10*(($A251+1)/100)^2))</f>
        <v>0.10011765</v>
      </c>
      <c r="D251" s="30">
        <f>IF(($A251+2)&gt;$B$11, "", ($B$9*(($A251+2)/100)+$B$10*(($A251+2)/100)^2))</f>
        <v>0.2004706</v>
      </c>
      <c r="E251" s="30">
        <f>IF(($A251+3)&gt;$B$11, "", ($B$9*(($A251+3)/100)+$B$10*(($A251+3)/100)^2))</f>
        <v>0.30105885</v>
      </c>
      <c r="F251" s="30">
        <f>IF(($A251+4)&gt;$B$11, "", ($B$9*(($A251+4)/100)+$B$10*(($A251+4)/100)^2))</f>
        <v>0.40188240000000003</v>
      </c>
      <c r="G251" s="30">
        <f>IF(($A251+5)&gt;$B$11, "", ($B$9*(($A251+5)/100)+$B$10*(($A251+5)/100)^2))</f>
        <v>0.50294125</v>
      </c>
      <c r="H251" s="30">
        <f>IF(($A251+6)&gt;$B$11, "", ($B$9*(($A251+6)/100)+$B$10*(($A251+6)/100)^2))</f>
        <v>0.6042354</v>
      </c>
      <c r="I251" s="30">
        <f>IF(($A251+7)&gt;$B$11, "", ($B$9*(($A251+7)/100)+$B$10*(($A251+7)/100)^2))</f>
        <v>0.7057648500000001</v>
      </c>
      <c r="J251" s="30">
        <f>IF(($A251+8)&gt;$B$11, "", ($B$9*(($A251+8)/100)+$B$10*(($A251+8)/100)^2))</f>
        <v>0.8075296000000001</v>
      </c>
      <c r="K251" s="30">
        <f>IF(($A251+9)&gt;$B$11, "", ($B$9*(($A251+9)/100)+$B$10*(($A251+9)/100)^2))</f>
        <v>0.9095296499999999</v>
      </c>
    </row>
    <row r="252">
      <c r="A252" s="11">
        <v>10</v>
      </c>
      <c r="B252" s="30">
        <f>IF(($A252+0)&gt;$B$11, "", ($B$9*(($A252+0)/100)+$B$10*(($A252+0)/100)^2))</f>
        <v>1.011765</v>
      </c>
      <c r="C252" s="30">
        <f>IF(($A252+1)&gt;$B$11, "", ($B$9*(($A252+1)/100)+$B$10*(($A252+1)/100)^2))</f>
        <v>1.1142356500000001</v>
      </c>
      <c r="D252" s="30">
        <f>IF(($A252+2)&gt;$B$11, "", ($B$9*(($A252+2)/100)+$B$10*(($A252+2)/100)^2))</f>
        <v>1.2169416</v>
      </c>
      <c r="E252" s="30">
        <f>IF(($A252+3)&gt;$B$11, "", ($B$9*(($A252+3)/100)+$B$10*(($A252+3)/100)^2))</f>
        <v>1.31988285</v>
      </c>
      <c r="F252" s="30">
        <f>IF(($A252+4)&gt;$B$11, "", ($B$9*(($A252+4)/100)+$B$10*(($A252+4)/100)^2))</f>
        <v>1.4230594</v>
      </c>
      <c r="G252" s="30">
        <f>IF(($A252+5)&gt;$B$11, "", ($B$9*(($A252+5)/100)+$B$10*(($A252+5)/100)^2))</f>
        <v>1.52647125</v>
      </c>
      <c r="H252" s="30" t="str">
        <f>IF(($A252+6)&gt;$B$11, "", ($B$9*(($A252+6)/100)+$B$10*(($A252+6)/100)^2))</f>
        <v/>
      </c>
      <c r="I252" s="30" t="str">
        <f>IF(($A252+7)&gt;$B$11, "", ($B$9*(($A252+7)/100)+$B$10*(($A252+7)/100)^2))</f>
        <v/>
      </c>
      <c r="J252" s="30" t="str">
        <f>IF(($A252+8)&gt;$B$11, "", ($B$9*(($A252+8)/100)+$B$10*(($A252+8)/100)^2))</f>
        <v/>
      </c>
      <c r="K252" s="30" t="str">
        <f>IF(($A252+9)&gt;$B$11, "", ($B$9*(($A252+9)/100)+$B$10*(($A252+9)/100)^2))</f>
        <v/>
      </c>
    </row>
    <row r="253">
      <c r="A253" s="11">
        <v>20</v>
      </c>
      <c r="B253" s="30" t="str">
        <f>IF(($A253+0)&gt;$B$11, "", ($B$9*(($A253+0)/100)+$B$10*(($A253+0)/100)^2))</f>
        <v/>
      </c>
      <c r="C253" s="30" t="str">
        <f>IF(($A253+1)&gt;$B$11, "", ($B$9*(($A253+1)/100)+$B$10*(($A253+1)/100)^2))</f>
        <v/>
      </c>
      <c r="D253" s="30" t="str">
        <f>IF(($A253+2)&gt;$B$11, "", ($B$9*(($A253+2)/100)+$B$10*(($A253+2)/100)^2))</f>
        <v/>
      </c>
      <c r="E253" s="30" t="str">
        <f>IF(($A253+3)&gt;$B$11, "", ($B$9*(($A253+3)/100)+$B$10*(($A253+3)/100)^2))</f>
        <v/>
      </c>
      <c r="F253" s="30" t="str">
        <f>IF(($A253+4)&gt;$B$11, "", ($B$9*(($A253+4)/100)+$B$10*(($A253+4)/100)^2))</f>
        <v/>
      </c>
      <c r="G253" s="30" t="str">
        <f>IF(($A253+5)&gt;$B$11, "", ($B$9*(($A253+5)/100)+$B$10*(($A253+5)/100)^2))</f>
        <v/>
      </c>
      <c r="H253" s="30" t="str">
        <f>IF(($A253+6)&gt;$B$11, "", ($B$9*(($A253+6)/100)+$B$10*(($A253+6)/100)^2))</f>
        <v/>
      </c>
      <c r="I253" s="30" t="str">
        <f>IF(($A253+7)&gt;$B$11, "", ($B$9*(($A253+7)/100)+$B$10*(($A253+7)/100)^2))</f>
        <v/>
      </c>
      <c r="J253" s="30" t="str">
        <f>IF(($A253+8)&gt;$B$11, "", ($B$9*(($A253+8)/100)+$B$10*(($A253+8)/100)^2))</f>
        <v/>
      </c>
      <c r="K253" s="30" t="str">
        <f>IF(($A253+9)&gt;$B$11, "", ($B$9*(($A253+9)/100)+$B$10*(($A253+9)/100)^2))</f>
        <v/>
      </c>
    </row>
    <row r="254">
      <c r="A254" s="11">
        <v>30</v>
      </c>
      <c r="B254" s="30" t="str">
        <f>IF(($A254+0)&gt;$B$11, "", ($B$9*(($A254+0)/100)+$B$10*(($A254+0)/100)^2))</f>
        <v/>
      </c>
      <c r="C254" s="30" t="str">
        <f>IF(($A254+1)&gt;$B$11, "", ($B$9*(($A254+1)/100)+$B$10*(($A254+1)/100)^2))</f>
        <v/>
      </c>
      <c r="D254" s="30" t="str">
        <f>IF(($A254+2)&gt;$B$11, "", ($B$9*(($A254+2)/100)+$B$10*(($A254+2)/100)^2))</f>
        <v/>
      </c>
      <c r="E254" s="30" t="str">
        <f>IF(($A254+3)&gt;$B$11, "", ($B$9*(($A254+3)/100)+$B$10*(($A254+3)/100)^2))</f>
        <v/>
      </c>
      <c r="F254" s="30" t="str">
        <f>IF(($A254+4)&gt;$B$11, "", ($B$9*(($A254+4)/100)+$B$10*(($A254+4)/100)^2))</f>
        <v/>
      </c>
      <c r="G254" s="30" t="str">
        <f>IF(($A254+5)&gt;$B$11, "", ($B$9*(($A254+5)/100)+$B$10*(($A254+5)/100)^2))</f>
        <v/>
      </c>
      <c r="H254" s="30" t="str">
        <f>IF(($A254+6)&gt;$B$11, "", ($B$9*(($A254+6)/100)+$B$10*(($A254+6)/100)^2))</f>
        <v/>
      </c>
      <c r="I254" s="30" t="str">
        <f>IF(($A254+7)&gt;$B$11, "", ($B$9*(($A254+7)/100)+$B$10*(($A254+7)/100)^2))</f>
        <v/>
      </c>
      <c r="J254" s="30" t="str">
        <f>IF(($A254+8)&gt;$B$11, "", ($B$9*(($A254+8)/100)+$B$10*(($A254+8)/100)^2))</f>
        <v/>
      </c>
      <c r="K254" s="30" t="str">
        <f>IF(($A254+9)&gt;$B$11, "", ($B$9*(($A254+9)/100)+$B$10*(($A254+9)/100)^2))</f>
        <v/>
      </c>
    </row>
    <row r="255">
      <c r="A255" s="11">
        <v>40</v>
      </c>
      <c r="B255" s="30" t="str">
        <f>IF(($A255+0)&gt;$B$11, "", ($B$9*(($A255+0)/100)+$B$10*(($A255+0)/100)^2))</f>
        <v/>
      </c>
      <c r="C255" s="30" t="str">
        <f>IF(($A255+1)&gt;$B$11, "", ($B$9*(($A255+1)/100)+$B$10*(($A255+1)/100)^2))</f>
        <v/>
      </c>
      <c r="D255" s="30" t="str">
        <f>IF(($A255+2)&gt;$B$11, "", ($B$9*(($A255+2)/100)+$B$10*(($A255+2)/100)^2))</f>
        <v/>
      </c>
      <c r="E255" s="30" t="str">
        <f>IF(($A255+3)&gt;$B$11, "", ($B$9*(($A255+3)/100)+$B$10*(($A255+3)/100)^2))</f>
        <v/>
      </c>
      <c r="F255" s="30" t="str">
        <f>IF(($A255+4)&gt;$B$11, "", ($B$9*(($A255+4)/100)+$B$10*(($A255+4)/100)^2))</f>
        <v/>
      </c>
      <c r="G255" s="30" t="str">
        <f>IF(($A255+5)&gt;$B$11, "", ($B$9*(($A255+5)/100)+$B$10*(($A255+5)/100)^2))</f>
        <v/>
      </c>
      <c r="H255" s="30" t="str">
        <f>IF(($A255+6)&gt;$B$11, "", ($B$9*(($A255+6)/100)+$B$10*(($A255+6)/100)^2))</f>
        <v/>
      </c>
      <c r="I255" s="30" t="str">
        <f>IF(($A255+7)&gt;$B$11, "", ($B$9*(($A255+7)/100)+$B$10*(($A255+7)/100)^2))</f>
        <v/>
      </c>
      <c r="J255" s="30" t="str">
        <f>IF(($A255+8)&gt;$B$11, "", ($B$9*(($A255+8)/100)+$B$10*(($A255+8)/100)^2))</f>
        <v/>
      </c>
      <c r="K255" s="30" t="str">
        <f>IF(($A255+9)&gt;$B$11, "", ($B$9*(($A255+9)/100)+$B$10*(($A255+9)/100)^2))</f>
        <v/>
      </c>
    </row>
    <row r="256">
      <c r="A256" s="11">
        <v>50</v>
      </c>
      <c r="B256" s="30" t="str">
        <f>IF(($A256+0)&gt;$B$11, "", ($B$9*(($A256+0)/100)+$B$10*(($A256+0)/100)^2))</f>
        <v/>
      </c>
      <c r="C256" s="30" t="str">
        <f>IF(($A256+1)&gt;$B$11, "", ($B$9*(($A256+1)/100)+$B$10*(($A256+1)/100)^2))</f>
        <v/>
      </c>
      <c r="D256" s="30" t="str">
        <f>IF(($A256+2)&gt;$B$11, "", ($B$9*(($A256+2)/100)+$B$10*(($A256+2)/100)^2))</f>
        <v/>
      </c>
      <c r="E256" s="30" t="str">
        <f>IF(($A256+3)&gt;$B$11, "", ($B$9*(($A256+3)/100)+$B$10*(($A256+3)/100)^2))</f>
        <v/>
      </c>
      <c r="F256" s="30" t="str">
        <f>IF(($A256+4)&gt;$B$11, "", ($B$9*(($A256+4)/100)+$B$10*(($A256+4)/100)^2))</f>
        <v/>
      </c>
      <c r="G256" s="30" t="str">
        <f>IF(($A256+5)&gt;$B$11, "", ($B$9*(($A256+5)/100)+$B$10*(($A256+5)/100)^2))</f>
        <v/>
      </c>
      <c r="H256" s="30" t="str">
        <f>IF(($A256+6)&gt;$B$11, "", ($B$9*(($A256+6)/100)+$B$10*(($A256+6)/100)^2))</f>
        <v/>
      </c>
      <c r="I256" s="30" t="str">
        <f>IF(($A256+7)&gt;$B$11, "", ($B$9*(($A256+7)/100)+$B$10*(($A256+7)/100)^2))</f>
        <v/>
      </c>
      <c r="J256" s="30" t="str">
        <f>IF(($A256+8)&gt;$B$11, "", ($B$9*(($A256+8)/100)+$B$10*(($A256+8)/100)^2))</f>
        <v/>
      </c>
      <c r="K256" s="30" t="str">
        <f>IF(($A256+9)&gt;$B$11, "", ($B$9*(($A256+9)/100)+$B$10*(($A256+9)/100)^2))</f>
        <v/>
      </c>
    </row>
    <row r="257">
      <c r="A257" s="11">
        <v>60</v>
      </c>
      <c r="B257" s="30" t="str">
        <f>IF(($A257+0)&gt;$B$11, "", ($B$9*(($A257+0)/100)+$B$10*(($A257+0)/100)^2))</f>
        <v/>
      </c>
      <c r="C257" s="30" t="str">
        <f>IF(($A257+1)&gt;$B$11, "", ($B$9*(($A257+1)/100)+$B$10*(($A257+1)/100)^2))</f>
        <v/>
      </c>
      <c r="D257" s="30" t="str">
        <f>IF(($A257+2)&gt;$B$11, "", ($B$9*(($A257+2)/100)+$B$10*(($A257+2)/100)^2))</f>
        <v/>
      </c>
      <c r="E257" s="30" t="str">
        <f>IF(($A257+3)&gt;$B$11, "", ($B$9*(($A257+3)/100)+$B$10*(($A257+3)/100)^2))</f>
        <v/>
      </c>
      <c r="F257" s="30" t="str">
        <f>IF(($A257+4)&gt;$B$11, "", ($B$9*(($A257+4)/100)+$B$10*(($A257+4)/100)^2))</f>
        <v/>
      </c>
      <c r="G257" s="30" t="str">
        <f>IF(($A257+5)&gt;$B$11, "", ($B$9*(($A257+5)/100)+$B$10*(($A257+5)/100)^2))</f>
        <v/>
      </c>
      <c r="H257" s="30" t="str">
        <f>IF(($A257+6)&gt;$B$11, "", ($B$9*(($A257+6)/100)+$B$10*(($A257+6)/100)^2))</f>
        <v/>
      </c>
      <c r="I257" s="30" t="str">
        <f>IF(($A257+7)&gt;$B$11, "", ($B$9*(($A257+7)/100)+$B$10*(($A257+7)/100)^2))</f>
        <v/>
      </c>
      <c r="J257" s="30" t="str">
        <f>IF(($A257+8)&gt;$B$11, "", ($B$9*(($A257+8)/100)+$B$10*(($A257+8)/100)^2))</f>
        <v/>
      </c>
      <c r="K257" s="30" t="str">
        <f>IF(($A257+9)&gt;$B$11, "", ($B$9*(($A257+9)/100)+$B$10*(($A257+9)/100)^2))</f>
        <v/>
      </c>
    </row>
    <row r="258">
      <c r="A258" s="11">
        <v>70</v>
      </c>
      <c r="B258" s="30" t="str">
        <f>IF(($A258+0)&gt;$B$11, "", ($B$9*(($A258+0)/100)+$B$10*(($A258+0)/100)^2))</f>
        <v/>
      </c>
      <c r="C258" s="30" t="str">
        <f>IF(($A258+1)&gt;$B$11, "", ($B$9*(($A258+1)/100)+$B$10*(($A258+1)/100)^2))</f>
        <v/>
      </c>
      <c r="D258" s="30" t="str">
        <f>IF(($A258+2)&gt;$B$11, "", ($B$9*(($A258+2)/100)+$B$10*(($A258+2)/100)^2))</f>
        <v/>
      </c>
      <c r="E258" s="30" t="str">
        <f>IF(($A258+3)&gt;$B$11, "", ($B$9*(($A258+3)/100)+$B$10*(($A258+3)/100)^2))</f>
        <v/>
      </c>
      <c r="F258" s="30" t="str">
        <f>IF(($A258+4)&gt;$B$11, "", ($B$9*(($A258+4)/100)+$B$10*(($A258+4)/100)^2))</f>
        <v/>
      </c>
      <c r="G258" s="30" t="str">
        <f>IF(($A258+5)&gt;$B$11, "", ($B$9*(($A258+5)/100)+$B$10*(($A258+5)/100)^2))</f>
        <v/>
      </c>
      <c r="H258" s="30" t="str">
        <f>IF(($A258+6)&gt;$B$11, "", ($B$9*(($A258+6)/100)+$B$10*(($A258+6)/100)^2))</f>
        <v/>
      </c>
      <c r="I258" s="30" t="str">
        <f>IF(($A258+7)&gt;$B$11, "", ($B$9*(($A258+7)/100)+$B$10*(($A258+7)/100)^2))</f>
        <v/>
      </c>
      <c r="J258" s="30" t="str">
        <f>IF(($A258+8)&gt;$B$11, "", ($B$9*(($A258+8)/100)+$B$10*(($A258+8)/100)^2))</f>
        <v/>
      </c>
      <c r="K258" s="30" t="str">
        <f>IF(($A258+9)&gt;$B$11, "", ($B$9*(($A258+9)/100)+$B$10*(($A258+9)/100)^2))</f>
        <v/>
      </c>
    </row>
    <row r="259">
      <c r="A259" s="11">
        <v>80</v>
      </c>
      <c r="B259" s="30" t="str">
        <f>IF(($A259+0)&gt;$B$11, "", ($B$9*(($A259+0)/100)+$B$10*(($A259+0)/100)^2))</f>
        <v/>
      </c>
      <c r="C259" s="30" t="str">
        <f>IF(($A259+1)&gt;$B$11, "", ($B$9*(($A259+1)/100)+$B$10*(($A259+1)/100)^2))</f>
        <v/>
      </c>
      <c r="D259" s="30" t="str">
        <f>IF(($A259+2)&gt;$B$11, "", ($B$9*(($A259+2)/100)+$B$10*(($A259+2)/100)^2))</f>
        <v/>
      </c>
      <c r="E259" s="30" t="str">
        <f>IF(($A259+3)&gt;$B$11, "", ($B$9*(($A259+3)/100)+$B$10*(($A259+3)/100)^2))</f>
        <v/>
      </c>
      <c r="F259" s="30" t="str">
        <f>IF(($A259+4)&gt;$B$11, "", ($B$9*(($A259+4)/100)+$B$10*(($A259+4)/100)^2))</f>
        <v/>
      </c>
      <c r="G259" s="30" t="str">
        <f>IF(($A259+5)&gt;$B$11, "", ($B$9*(($A259+5)/100)+$B$10*(($A259+5)/100)^2))</f>
        <v/>
      </c>
      <c r="H259" s="30" t="str">
        <f>IF(($A259+6)&gt;$B$11, "", ($B$9*(($A259+6)/100)+$B$10*(($A259+6)/100)^2))</f>
        <v/>
      </c>
      <c r="I259" s="30" t="str">
        <f>IF(($A259+7)&gt;$B$11, "", ($B$9*(($A259+7)/100)+$B$10*(($A259+7)/100)^2))</f>
        <v/>
      </c>
      <c r="J259" s="30" t="str">
        <f>IF(($A259+8)&gt;$B$11, "", ($B$9*(($A259+8)/100)+$B$10*(($A259+8)/100)^2))</f>
        <v/>
      </c>
      <c r="K259" s="30" t="str">
        <f>IF(($A259+9)&gt;$B$11, "", ($B$9*(($A259+9)/100)+$B$10*(($A259+9)/100)^2))</f>
        <v/>
      </c>
    </row>
    <row r="260">
      <c r="A260" s="11">
        <v>90</v>
      </c>
      <c r="B260" s="30" t="str">
        <f>IF(($A260+0)&gt;$B$11, "", ($B$9*(($A260+0)/100)+$B$10*(($A260+0)/100)^2))</f>
        <v/>
      </c>
      <c r="C260" s="30" t="str">
        <f>IF(($A260+1)&gt;$B$11, "", ($B$9*(($A260+1)/100)+$B$10*(($A260+1)/100)^2))</f>
        <v/>
      </c>
      <c r="D260" s="30" t="str">
        <f>IF(($A260+2)&gt;$B$11, "", ($B$9*(($A260+2)/100)+$B$10*(($A260+2)/100)^2))</f>
        <v/>
      </c>
      <c r="E260" s="30" t="str">
        <f>IF(($A260+3)&gt;$B$11, "", ($B$9*(($A260+3)/100)+$B$10*(($A260+3)/100)^2))</f>
        <v/>
      </c>
      <c r="F260" s="30" t="str">
        <f>IF(($A260+4)&gt;$B$11, "", ($B$9*(($A260+4)/100)+$B$10*(($A260+4)/100)^2))</f>
        <v/>
      </c>
      <c r="G260" s="30" t="str">
        <f>IF(($A260+5)&gt;$B$11, "", ($B$9*(($A260+5)/100)+$B$10*(($A260+5)/100)^2))</f>
        <v/>
      </c>
      <c r="H260" s="30" t="str">
        <f>IF(($A260+6)&gt;$B$11, "", ($B$9*(($A260+6)/100)+$B$10*(($A260+6)/100)^2))</f>
        <v/>
      </c>
      <c r="I260" s="30" t="str">
        <f>IF(($A260+7)&gt;$B$11, "", ($B$9*(($A260+7)/100)+$B$10*(($A260+7)/100)^2))</f>
        <v/>
      </c>
      <c r="J260" s="30" t="str">
        <f>IF(($A260+8)&gt;$B$11, "", ($B$9*(($A260+8)/100)+$B$10*(($A260+8)/100)^2))</f>
        <v/>
      </c>
      <c r="K260" s="30" t="str">
        <f>IF(($A260+9)&gt;$B$11, "", ($B$9*(($A260+9)/100)+$B$10*(($A260+9)/100)^2))</f>
        <v/>
      </c>
    </row>
    <row r="261">
      <c r="A261" s="11">
        <v>100</v>
      </c>
      <c r="B261" s="30" t="str">
        <f>IF(($A261+0)&gt;$B$11, "", ($B$9*(($A261+0)/100)+$B$10*(($A261+0)/100)^2))</f>
        <v/>
      </c>
      <c r="C261" s="30" t="str">
        <f>IF(($A261+1)&gt;$B$11, "", ($B$9*(($A261+1)/100)+$B$10*(($A261+1)/100)^2))</f>
        <v/>
      </c>
      <c r="D261" s="30" t="str">
        <f>IF(($A261+2)&gt;$B$11, "", ($B$9*(($A261+2)/100)+$B$10*(($A261+2)/100)^2))</f>
        <v/>
      </c>
      <c r="E261" s="30" t="str">
        <f>IF(($A261+3)&gt;$B$11, "", ($B$9*(($A261+3)/100)+$B$10*(($A261+3)/100)^2))</f>
        <v/>
      </c>
      <c r="F261" s="30" t="str">
        <f>IF(($A261+4)&gt;$B$11, "", ($B$9*(($A261+4)/100)+$B$10*(($A261+4)/100)^2))</f>
        <v/>
      </c>
      <c r="G261" s="30" t="str">
        <f>IF(($A261+5)&gt;$B$11, "", ($B$9*(($A261+5)/100)+$B$10*(($A261+5)/100)^2))</f>
        <v/>
      </c>
      <c r="H261" s="30" t="str">
        <f>IF(($A261+6)&gt;$B$11, "", ($B$9*(($A261+6)/100)+$B$10*(($A261+6)/100)^2))</f>
        <v/>
      </c>
      <c r="I261" s="30" t="str">
        <f>IF(($A261+7)&gt;$B$11, "", ($B$9*(($A261+7)/100)+$B$10*(($A261+7)/100)^2))</f>
        <v/>
      </c>
      <c r="J261" s="30" t="str">
        <f>IF(($A261+8)&gt;$B$11, "", ($B$9*(($A261+8)/100)+$B$10*(($A261+8)/100)^2))</f>
        <v/>
      </c>
      <c r="K261" s="30" t="str">
        <f>IF(($A261+9)&gt;$B$11, "", ($B$9*(($A261+9)/100)+$B$10*(($A261+9)/100)^2))</f>
        <v/>
      </c>
    </row>
    <row r="262">
      <c r="A262" s="11">
        <v>110</v>
      </c>
      <c r="B262" s="30" t="str">
        <f>IF(($A262+0)&gt;$B$11, "", ($B$9*(($A262+0)/100)+$B$10*(($A262+0)/100)^2))</f>
        <v/>
      </c>
      <c r="C262" s="30" t="str">
        <f>IF(($A262+1)&gt;$B$11, "", ($B$9*(($A262+1)/100)+$B$10*(($A262+1)/100)^2))</f>
        <v/>
      </c>
      <c r="D262" s="30" t="str">
        <f>IF(($A262+2)&gt;$B$11, "", ($B$9*(($A262+2)/100)+$B$10*(($A262+2)/100)^2))</f>
        <v/>
      </c>
      <c r="E262" s="30" t="str">
        <f>IF(($A262+3)&gt;$B$11, "", ($B$9*(($A262+3)/100)+$B$10*(($A262+3)/100)^2))</f>
        <v/>
      </c>
      <c r="F262" s="30" t="str">
        <f>IF(($A262+4)&gt;$B$11, "", ($B$9*(($A262+4)/100)+$B$10*(($A262+4)/100)^2))</f>
        <v/>
      </c>
      <c r="G262" s="30" t="str">
        <f>IF(($A262+5)&gt;$B$11, "", ($B$9*(($A262+5)/100)+$B$10*(($A262+5)/100)^2))</f>
        <v/>
      </c>
      <c r="H262" s="30" t="str">
        <f>IF(($A262+6)&gt;$B$11, "", ($B$9*(($A262+6)/100)+$B$10*(($A262+6)/100)^2))</f>
        <v/>
      </c>
      <c r="I262" s="30" t="str">
        <f>IF(($A262+7)&gt;$B$11, "", ($B$9*(($A262+7)/100)+$B$10*(($A262+7)/100)^2))</f>
        <v/>
      </c>
      <c r="J262" s="30" t="str">
        <f>IF(($A262+8)&gt;$B$11, "", ($B$9*(($A262+8)/100)+$B$10*(($A262+8)/100)^2))</f>
        <v/>
      </c>
      <c r="K262" s="30" t="str">
        <f>IF(($A262+9)&gt;$B$11, "", ($B$9*(($A262+9)/100)+$B$10*(($A262+9)/100)^2))</f>
        <v/>
      </c>
    </row>
    <row r="263">
      <c r="A263" s="11">
        <v>120</v>
      </c>
      <c r="B263" s="30" t="str">
        <f>IF(($A263+0)&gt;$B$11, "", ($B$9*(($A263+0)/100)+$B$10*(($A263+0)/100)^2))</f>
        <v/>
      </c>
      <c r="C263" s="30" t="str">
        <f>IF(($A263+1)&gt;$B$11, "", ($B$9*(($A263+1)/100)+$B$10*(($A263+1)/100)^2))</f>
        <v/>
      </c>
      <c r="D263" s="30" t="str">
        <f>IF(($A263+2)&gt;$B$11, "", ($B$9*(($A263+2)/100)+$B$10*(($A263+2)/100)^2))</f>
        <v/>
      </c>
      <c r="E263" s="30" t="str">
        <f>IF(($A263+3)&gt;$B$11, "", ($B$9*(($A263+3)/100)+$B$10*(($A263+3)/100)^2))</f>
        <v/>
      </c>
      <c r="F263" s="30" t="str">
        <f>IF(($A263+4)&gt;$B$11, "", ($B$9*(($A263+4)/100)+$B$10*(($A263+4)/100)^2))</f>
        <v/>
      </c>
      <c r="G263" s="30" t="str">
        <f>IF(($A263+5)&gt;$B$11, "", ($B$9*(($A263+5)/100)+$B$10*(($A263+5)/100)^2))</f>
        <v/>
      </c>
      <c r="H263" s="30" t="str">
        <f>IF(($A263+6)&gt;$B$11, "", ($B$9*(($A263+6)/100)+$B$10*(($A263+6)/100)^2))</f>
        <v/>
      </c>
      <c r="I263" s="30" t="str">
        <f>IF(($A263+7)&gt;$B$11, "", ($B$9*(($A263+7)/100)+$B$10*(($A263+7)/100)^2))</f>
        <v/>
      </c>
      <c r="J263" s="30" t="str">
        <f>IF(($A263+8)&gt;$B$11, "", ($B$9*(($A263+8)/100)+$B$10*(($A263+8)/100)^2))</f>
        <v/>
      </c>
      <c r="K263" s="30" t="str">
        <f>IF(($A263+9)&gt;$B$11, "", ($B$9*(($A263+9)/100)+$B$10*(($A263+9)/100)^2))</f>
        <v/>
      </c>
    </row>
    <row r="264">
      <c r="A264" s="11">
        <v>130</v>
      </c>
      <c r="B264" s="30" t="str">
        <f>IF(($A264+0)&gt;$B$11, "", ($B$9*(($A264+0)/100)+$B$10*(($A264+0)/100)^2))</f>
        <v/>
      </c>
      <c r="C264" s="30" t="str">
        <f>IF(($A264+1)&gt;$B$11, "", ($B$9*(($A264+1)/100)+$B$10*(($A264+1)/100)^2))</f>
        <v/>
      </c>
      <c r="D264" s="30" t="str">
        <f>IF(($A264+2)&gt;$B$11, "", ($B$9*(($A264+2)/100)+$B$10*(($A264+2)/100)^2))</f>
        <v/>
      </c>
      <c r="E264" s="30" t="str">
        <f>IF(($A264+3)&gt;$B$11, "", ($B$9*(($A264+3)/100)+$B$10*(($A264+3)/100)^2))</f>
        <v/>
      </c>
      <c r="F264" s="30" t="str">
        <f>IF(($A264+4)&gt;$B$11, "", ($B$9*(($A264+4)/100)+$B$10*(($A264+4)/100)^2))</f>
        <v/>
      </c>
      <c r="G264" s="30" t="str">
        <f>IF(($A264+5)&gt;$B$11, "", ($B$9*(($A264+5)/100)+$B$10*(($A264+5)/100)^2))</f>
        <v/>
      </c>
      <c r="H264" s="30" t="str">
        <f>IF(($A264+6)&gt;$B$11, "", ($B$9*(($A264+6)/100)+$B$10*(($A264+6)/100)^2))</f>
        <v/>
      </c>
      <c r="I264" s="30" t="str">
        <f>IF(($A264+7)&gt;$B$11, "", ($B$9*(($A264+7)/100)+$B$10*(($A264+7)/100)^2))</f>
        <v/>
      </c>
      <c r="J264" s="30" t="str">
        <f>IF(($A264+8)&gt;$B$11, "", ($B$9*(($A264+8)/100)+$B$10*(($A264+8)/100)^2))</f>
        <v/>
      </c>
      <c r="K264" s="30" t="str">
        <f>IF(($A264+9)&gt;$B$11, "", ($B$9*(($A264+9)/100)+$B$10*(($A264+9)/100)^2))</f>
        <v/>
      </c>
    </row>
    <row r="265">
      <c r="A265" s="11">
        <v>140</v>
      </c>
      <c r="B265" s="30" t="str">
        <f>IF(($A265+0)&gt;$B$11, "", ($B$9*(($A265+0)/100)+$B$10*(($A265+0)/100)^2))</f>
        <v/>
      </c>
      <c r="C265" s="30" t="str">
        <f>IF(($A265+1)&gt;$B$11, "", ($B$9*(($A265+1)/100)+$B$10*(($A265+1)/100)^2))</f>
        <v/>
      </c>
      <c r="D265" s="30" t="str">
        <f>IF(($A265+2)&gt;$B$11, "", ($B$9*(($A265+2)/100)+$B$10*(($A265+2)/100)^2))</f>
        <v/>
      </c>
      <c r="E265" s="30" t="str">
        <f>IF(($A265+3)&gt;$B$11, "", ($B$9*(($A265+3)/100)+$B$10*(($A265+3)/100)^2))</f>
        <v/>
      </c>
      <c r="F265" s="30" t="str">
        <f>IF(($A265+4)&gt;$B$11, "", ($B$9*(($A265+4)/100)+$B$10*(($A265+4)/100)^2))</f>
        <v/>
      </c>
      <c r="G265" s="30" t="str">
        <f>IF(($A265+5)&gt;$B$11, "", ($B$9*(($A265+5)/100)+$B$10*(($A265+5)/100)^2))</f>
        <v/>
      </c>
      <c r="H265" s="30" t="str">
        <f>IF(($A265+6)&gt;$B$11, "", ($B$9*(($A265+6)/100)+$B$10*(($A265+6)/100)^2))</f>
        <v/>
      </c>
      <c r="I265" s="30" t="str">
        <f>IF(($A265+7)&gt;$B$11, "", ($B$9*(($A265+7)/100)+$B$10*(($A265+7)/100)^2))</f>
        <v/>
      </c>
      <c r="J265" s="30" t="str">
        <f>IF(($A265+8)&gt;$B$11, "", ($B$9*(($A265+8)/100)+$B$10*(($A265+8)/100)^2))</f>
        <v/>
      </c>
      <c r="K265" s="30" t="str">
        <f>IF(($A265+9)&gt;$B$11, "", ($B$9*(($A265+9)/100)+$B$10*(($A265+9)/100)^2))</f>
        <v/>
      </c>
    </row>
    <row r="266">
      <c r="A266" s="11">
        <v>150</v>
      </c>
      <c r="B266" s="30" t="str">
        <f>IF(($A266+0)&gt;$B$11, "", ($B$9*(($A266+0)/100)+$B$10*(($A266+0)/100)^2))</f>
        <v/>
      </c>
      <c r="C266" s="30" t="str">
        <f>IF(($A266+1)&gt;$B$11, "", ($B$9*(($A266+1)/100)+$B$10*(($A266+1)/100)^2))</f>
        <v/>
      </c>
      <c r="D266" s="30" t="str">
        <f>IF(($A266+2)&gt;$B$11, "", ($B$9*(($A266+2)/100)+$B$10*(($A266+2)/100)^2))</f>
        <v/>
      </c>
      <c r="E266" s="30" t="str">
        <f>IF(($A266+3)&gt;$B$11, "", ($B$9*(($A266+3)/100)+$B$10*(($A266+3)/100)^2))</f>
        <v/>
      </c>
      <c r="F266" s="30" t="str">
        <f>IF(($A266+4)&gt;$B$11, "", ($B$9*(($A266+4)/100)+$B$10*(($A266+4)/100)^2))</f>
        <v/>
      </c>
      <c r="G266" s="30" t="str">
        <f>IF(($A266+5)&gt;$B$11, "", ($B$9*(($A266+5)/100)+$B$10*(($A266+5)/100)^2))</f>
        <v/>
      </c>
      <c r="H266" s="30" t="str">
        <f>IF(($A266+6)&gt;$B$11, "", ($B$9*(($A266+6)/100)+$B$10*(($A266+6)/100)^2))</f>
        <v/>
      </c>
      <c r="I266" s="30" t="str">
        <f>IF(($A266+7)&gt;$B$11, "", ($B$9*(($A266+7)/100)+$B$10*(($A266+7)/100)^2))</f>
        <v/>
      </c>
      <c r="J266" s="30" t="str">
        <f>IF(($A266+8)&gt;$B$11, "", ($B$9*(($A266+8)/100)+$B$10*(($A266+8)/100)^2))</f>
        <v/>
      </c>
      <c r="K266" s="30" t="str">
        <f>IF(($A266+9)&gt;$B$11, "", ($B$9*(($A266+9)/100)+$B$10*(($A266+9)/100)^2))</f>
        <v/>
      </c>
    </row>
    <row r="267">
      <c r="A267" s="11">
        <v>160</v>
      </c>
      <c r="B267" s="30" t="str">
        <f>IF(($A267+0)&gt;$B$11, "", ($B$9*(($A267+0)/100)+$B$10*(($A267+0)/100)^2))</f>
        <v/>
      </c>
      <c r="C267" s="30" t="str">
        <f>IF(($A267+1)&gt;$B$11, "", ($B$9*(($A267+1)/100)+$B$10*(($A267+1)/100)^2))</f>
        <v/>
      </c>
      <c r="D267" s="30" t="str">
        <f>IF(($A267+2)&gt;$B$11, "", ($B$9*(($A267+2)/100)+$B$10*(($A267+2)/100)^2))</f>
        <v/>
      </c>
      <c r="E267" s="30" t="str">
        <f>IF(($A267+3)&gt;$B$11, "", ($B$9*(($A267+3)/100)+$B$10*(($A267+3)/100)^2))</f>
        <v/>
      </c>
      <c r="F267" s="30" t="str">
        <f>IF(($A267+4)&gt;$B$11, "", ($B$9*(($A267+4)/100)+$B$10*(($A267+4)/100)^2))</f>
        <v/>
      </c>
      <c r="G267" s="30" t="str">
        <f>IF(($A267+5)&gt;$B$11, "", ($B$9*(($A267+5)/100)+$B$10*(($A267+5)/100)^2))</f>
        <v/>
      </c>
      <c r="H267" s="30" t="str">
        <f>IF(($A267+6)&gt;$B$11, "", ($B$9*(($A267+6)/100)+$B$10*(($A267+6)/100)^2))</f>
        <v/>
      </c>
      <c r="I267" s="30" t="str">
        <f>IF(($A267+7)&gt;$B$11, "", ($B$9*(($A267+7)/100)+$B$10*(($A267+7)/100)^2))</f>
        <v/>
      </c>
      <c r="J267" s="30" t="str">
        <f>IF(($A267+8)&gt;$B$11, "", ($B$9*(($A267+8)/100)+$B$10*(($A267+8)/100)^2))</f>
        <v/>
      </c>
      <c r="K267" s="30" t="str">
        <f>IF(($A267+9)&gt;$B$11, "", ($B$9*(($A267+9)/100)+$B$10*(($A267+9)/100)^2))</f>
        <v/>
      </c>
    </row>
    <row r="268">
      <c r="A268" s="11">
        <v>170</v>
      </c>
      <c r="B268" s="30" t="str">
        <f>IF(($A268+0)&gt;$B$11, "", ($B$9*(($A268+0)/100)+$B$10*(($A268+0)/100)^2))</f>
        <v/>
      </c>
      <c r="C268" s="30" t="str">
        <f>IF(($A268+1)&gt;$B$11, "", ($B$9*(($A268+1)/100)+$B$10*(($A268+1)/100)^2))</f>
        <v/>
      </c>
      <c r="D268" s="30" t="str">
        <f>IF(($A268+2)&gt;$B$11, "", ($B$9*(($A268+2)/100)+$B$10*(($A268+2)/100)^2))</f>
        <v/>
      </c>
      <c r="E268" s="30" t="str">
        <f>IF(($A268+3)&gt;$B$11, "", ($B$9*(($A268+3)/100)+$B$10*(($A268+3)/100)^2))</f>
        <v/>
      </c>
      <c r="F268" s="30" t="str">
        <f>IF(($A268+4)&gt;$B$11, "", ($B$9*(($A268+4)/100)+$B$10*(($A268+4)/100)^2))</f>
        <v/>
      </c>
      <c r="G268" s="30" t="str">
        <f>IF(($A268+5)&gt;$B$11, "", ($B$9*(($A268+5)/100)+$B$10*(($A268+5)/100)^2))</f>
        <v/>
      </c>
      <c r="H268" s="30" t="str">
        <f>IF(($A268+6)&gt;$B$11, "", ($B$9*(($A268+6)/100)+$B$10*(($A268+6)/100)^2))</f>
        <v/>
      </c>
      <c r="I268" s="30" t="str">
        <f>IF(($A268+7)&gt;$B$11, "", ($B$9*(($A268+7)/100)+$B$10*(($A268+7)/100)^2))</f>
        <v/>
      </c>
      <c r="J268" s="30" t="str">
        <f>IF(($A268+8)&gt;$B$11, "", ($B$9*(($A268+8)/100)+$B$10*(($A268+8)/100)^2))</f>
        <v/>
      </c>
      <c r="K268" s="30" t="str">
        <f>IF(($A268+9)&gt;$B$11, "", ($B$9*(($A268+9)/100)+$B$10*(($A268+9)/100)^2))</f>
        <v/>
      </c>
    </row>
    <row r="269">
      <c r="A269" s="11">
        <v>180</v>
      </c>
      <c r="B269" s="30" t="str">
        <f>IF(($A269+0)&gt;$B$11, "", ($B$9*(($A269+0)/100)+$B$10*(($A269+0)/100)^2))</f>
        <v/>
      </c>
      <c r="C269" s="30" t="str">
        <f>IF(($A269+1)&gt;$B$11, "", ($B$9*(($A269+1)/100)+$B$10*(($A269+1)/100)^2))</f>
        <v/>
      </c>
      <c r="D269" s="30" t="str">
        <f>IF(($A269+2)&gt;$B$11, "", ($B$9*(($A269+2)/100)+$B$10*(($A269+2)/100)^2))</f>
        <v/>
      </c>
      <c r="E269" s="30" t="str">
        <f>IF(($A269+3)&gt;$B$11, "", ($B$9*(($A269+3)/100)+$B$10*(($A269+3)/100)^2))</f>
        <v/>
      </c>
      <c r="F269" s="30" t="str">
        <f>IF(($A269+4)&gt;$B$11, "", ($B$9*(($A269+4)/100)+$B$10*(($A269+4)/100)^2))</f>
        <v/>
      </c>
      <c r="G269" s="30" t="str">
        <f>IF(($A269+5)&gt;$B$11, "", ($B$9*(($A269+5)/100)+$B$10*(($A269+5)/100)^2))</f>
        <v/>
      </c>
      <c r="H269" s="30" t="str">
        <f>IF(($A269+6)&gt;$B$11, "", ($B$9*(($A269+6)/100)+$B$10*(($A269+6)/100)^2))</f>
        <v/>
      </c>
      <c r="I269" s="30" t="str">
        <f>IF(($A269+7)&gt;$B$11, "", ($B$9*(($A269+7)/100)+$B$10*(($A269+7)/100)^2))</f>
        <v/>
      </c>
      <c r="J269" s="30" t="str">
        <f>IF(($A269+8)&gt;$B$11, "", ($B$9*(($A269+8)/100)+$B$10*(($A269+8)/100)^2))</f>
        <v/>
      </c>
      <c r="K269" s="30" t="str">
        <f>IF(($A269+9)&gt;$B$11, "", ($B$9*(($A269+9)/100)+$B$10*(($A269+9)/100)^2))</f>
        <v/>
      </c>
    </row>
    <row r="270">
      <c r="A270" s="11">
        <v>190</v>
      </c>
      <c r="B270" s="30" t="str">
        <f>IF(($A270+0)&gt;$B$11, "", ($B$9*(($A270+0)/100)+$B$10*(($A270+0)/100)^2))</f>
        <v/>
      </c>
      <c r="C270" s="30" t="str">
        <f>IF(($A270+1)&gt;$B$11, "", ($B$9*(($A270+1)/100)+$B$10*(($A270+1)/100)^2))</f>
        <v/>
      </c>
      <c r="D270" s="30" t="str">
        <f>IF(($A270+2)&gt;$B$11, "", ($B$9*(($A270+2)/100)+$B$10*(($A270+2)/100)^2))</f>
        <v/>
      </c>
      <c r="E270" s="30" t="str">
        <f>IF(($A270+3)&gt;$B$11, "", ($B$9*(($A270+3)/100)+$B$10*(($A270+3)/100)^2))</f>
        <v/>
      </c>
      <c r="F270" s="30" t="str">
        <f>IF(($A270+4)&gt;$B$11, "", ($B$9*(($A270+4)/100)+$B$10*(($A270+4)/100)^2))</f>
        <v/>
      </c>
      <c r="G270" s="30" t="str">
        <f>IF(($A270+5)&gt;$B$11, "", ($B$9*(($A270+5)/100)+$B$10*(($A270+5)/100)^2))</f>
        <v/>
      </c>
      <c r="H270" s="30" t="str">
        <f>IF(($A270+6)&gt;$B$11, "", ($B$9*(($A270+6)/100)+$B$10*(($A270+6)/100)^2))</f>
        <v/>
      </c>
      <c r="I270" s="30" t="str">
        <f>IF(($A270+7)&gt;$B$11, "", ($B$9*(($A270+7)/100)+$B$10*(($A270+7)/100)^2))</f>
        <v/>
      </c>
      <c r="J270" s="30" t="str">
        <f>IF(($A270+8)&gt;$B$11, "", ($B$9*(($A270+8)/100)+$B$10*(($A270+8)/100)^2))</f>
        <v/>
      </c>
      <c r="K270" s="30" t="str">
        <f>IF(($A270+9)&gt;$B$11, "", ($B$9*(($A270+9)/100)+$B$10*(($A270+9)/100)^2))</f>
        <v/>
      </c>
    </row>
    <row r="271">
      <c r="A271" s="11">
        <v>200</v>
      </c>
      <c r="B271" s="30" t="str">
        <f>IF(($A271+0)&gt;$B$11, "", ($B$9*(($A271+0)/100)+$B$10*(($A271+0)/100)^2))</f>
        <v/>
      </c>
      <c r="C271" s="30" t="str">
        <f>IF(($A271+1)&gt;$B$11, "", ($B$9*(($A271+1)/100)+$B$10*(($A271+1)/100)^2))</f>
        <v/>
      </c>
      <c r="D271" s="30" t="str">
        <f>IF(($A271+2)&gt;$B$11, "", ($B$9*(($A271+2)/100)+$B$10*(($A271+2)/100)^2))</f>
        <v/>
      </c>
      <c r="E271" s="30" t="str">
        <f>IF(($A271+3)&gt;$B$11, "", ($B$9*(($A271+3)/100)+$B$10*(($A271+3)/100)^2))</f>
        <v/>
      </c>
      <c r="F271" s="30" t="str">
        <f>IF(($A271+4)&gt;$B$11, "", ($B$9*(($A271+4)/100)+$B$10*(($A271+4)/100)^2))</f>
        <v/>
      </c>
      <c r="G271" s="30" t="str">
        <f>IF(($A271+5)&gt;$B$11, "", ($B$9*(($A271+5)/100)+$B$10*(($A271+5)/100)^2))</f>
        <v/>
      </c>
      <c r="H271" s="30" t="str">
        <f>IF(($A271+6)&gt;$B$11, "", ($B$9*(($A271+6)/100)+$B$10*(($A271+6)/100)^2))</f>
        <v/>
      </c>
      <c r="I271" s="30" t="str">
        <f>IF(($A271+7)&gt;$B$11, "", ($B$9*(($A271+7)/100)+$B$10*(($A271+7)/100)^2))</f>
        <v/>
      </c>
      <c r="J271" s="30" t="str">
        <f>IF(($A271+8)&gt;$B$11, "", ($B$9*(($A271+8)/100)+$B$10*(($A271+8)/100)^2))</f>
        <v/>
      </c>
      <c r="K271" s="30" t="str">
        <f>IF(($A271+9)&gt;$B$11, "", ($B$9*(($A271+9)/100)+$B$10*(($A271+9)/100)^2))</f>
        <v/>
      </c>
    </row>
    <row r="272">
      <c r="A272" s="11">
        <v>210</v>
      </c>
      <c r="B272" s="30" t="str">
        <f>IF(($A272+0)&gt;$B$11, "", ($B$9*(($A272+0)/100)+$B$10*(($A272+0)/100)^2))</f>
        <v/>
      </c>
      <c r="C272" s="30" t="str">
        <f>IF(($A272+1)&gt;$B$11, "", ($B$9*(($A272+1)/100)+$B$10*(($A272+1)/100)^2))</f>
        <v/>
      </c>
      <c r="D272" s="30" t="str">
        <f>IF(($A272+2)&gt;$B$11, "", ($B$9*(($A272+2)/100)+$B$10*(($A272+2)/100)^2))</f>
        <v/>
      </c>
      <c r="E272" s="30" t="str">
        <f>IF(($A272+3)&gt;$B$11, "", ($B$9*(($A272+3)/100)+$B$10*(($A272+3)/100)^2))</f>
        <v/>
      </c>
      <c r="F272" s="30" t="str">
        <f>IF(($A272+4)&gt;$B$11, "", ($B$9*(($A272+4)/100)+$B$10*(($A272+4)/100)^2))</f>
        <v/>
      </c>
      <c r="G272" s="30" t="str">
        <f>IF(($A272+5)&gt;$B$11, "", ($B$9*(($A272+5)/100)+$B$10*(($A272+5)/100)^2))</f>
        <v/>
      </c>
      <c r="H272" s="30" t="str">
        <f>IF(($A272+6)&gt;$B$11, "", ($B$9*(($A272+6)/100)+$B$10*(($A272+6)/100)^2))</f>
        <v/>
      </c>
      <c r="I272" s="30" t="str">
        <f>IF(($A272+7)&gt;$B$11, "", ($B$9*(($A272+7)/100)+$B$10*(($A272+7)/100)^2))</f>
        <v/>
      </c>
      <c r="J272" s="30" t="str">
        <f>IF(($A272+8)&gt;$B$11, "", ($B$9*(($A272+8)/100)+$B$10*(($A272+8)/100)^2))</f>
        <v/>
      </c>
      <c r="K272" s="30" t="str">
        <f>IF(($A272+9)&gt;$B$11, "", ($B$9*(($A272+9)/100)+$B$10*(($A272+9)/100)^2))</f>
        <v/>
      </c>
    </row>
    <row r="273">
      <c r="A273" s="11">
        <v>220</v>
      </c>
      <c r="B273" s="30" t="str">
        <f>IF(($A273+0)&gt;$B$11, "", ($B$9*(($A273+0)/100)+$B$10*(($A273+0)/100)^2))</f>
        <v/>
      </c>
      <c r="C273" s="30" t="str">
        <f>IF(($A273+1)&gt;$B$11, "", ($B$9*(($A273+1)/100)+$B$10*(($A273+1)/100)^2))</f>
        <v/>
      </c>
      <c r="D273" s="30" t="str">
        <f>IF(($A273+2)&gt;$B$11, "", ($B$9*(($A273+2)/100)+$B$10*(($A273+2)/100)^2))</f>
        <v/>
      </c>
      <c r="E273" s="30" t="str">
        <f>IF(($A273+3)&gt;$B$11, "", ($B$9*(($A273+3)/100)+$B$10*(($A273+3)/100)^2))</f>
        <v/>
      </c>
      <c r="F273" s="30" t="str">
        <f>IF(($A273+4)&gt;$B$11, "", ($B$9*(($A273+4)/100)+$B$10*(($A273+4)/100)^2))</f>
        <v/>
      </c>
      <c r="G273" s="30" t="str">
        <f>IF(($A273+5)&gt;$B$11, "", ($B$9*(($A273+5)/100)+$B$10*(($A273+5)/100)^2))</f>
        <v/>
      </c>
      <c r="H273" s="30" t="str">
        <f>IF(($A273+6)&gt;$B$11, "", ($B$9*(($A273+6)/100)+$B$10*(($A273+6)/100)^2))</f>
        <v/>
      </c>
      <c r="I273" s="30" t="str">
        <f>IF(($A273+7)&gt;$B$11, "", ($B$9*(($A273+7)/100)+$B$10*(($A273+7)/100)^2))</f>
        <v/>
      </c>
      <c r="J273" s="30" t="str">
        <f>IF(($A273+8)&gt;$B$11, "", ($B$9*(($A273+8)/100)+$B$10*(($A273+8)/100)^2))</f>
        <v/>
      </c>
      <c r="K273" s="30" t="str">
        <f>IF(($A273+9)&gt;$B$11, "", ($B$9*(($A273+9)/100)+$B$10*(($A273+9)/100)^2))</f>
        <v/>
      </c>
    </row>
    <row r="274">
      <c r="A274" s="11">
        <v>230</v>
      </c>
      <c r="B274" s="30" t="str">
        <f>IF(($A274+0)&gt;$B$11, "", ($B$9*(($A274+0)/100)+$B$10*(($A274+0)/100)^2))</f>
        <v/>
      </c>
      <c r="C274" s="30" t="str">
        <f>IF(($A274+1)&gt;$B$11, "", ($B$9*(($A274+1)/100)+$B$10*(($A274+1)/100)^2))</f>
        <v/>
      </c>
      <c r="D274" s="30" t="str">
        <f>IF(($A274+2)&gt;$B$11, "", ($B$9*(($A274+2)/100)+$B$10*(($A274+2)/100)^2))</f>
        <v/>
      </c>
      <c r="E274" s="30" t="str">
        <f>IF(($A274+3)&gt;$B$11, "", ($B$9*(($A274+3)/100)+$B$10*(($A274+3)/100)^2))</f>
        <v/>
      </c>
      <c r="F274" s="30" t="str">
        <f>IF(($A274+4)&gt;$B$11, "", ($B$9*(($A274+4)/100)+$B$10*(($A274+4)/100)^2))</f>
        <v/>
      </c>
      <c r="G274" s="30" t="str">
        <f>IF(($A274+5)&gt;$B$11, "", ($B$9*(($A274+5)/100)+$B$10*(($A274+5)/100)^2))</f>
        <v/>
      </c>
      <c r="H274" s="30" t="str">
        <f>IF(($A274+6)&gt;$B$11, "", ($B$9*(($A274+6)/100)+$B$10*(($A274+6)/100)^2))</f>
        <v/>
      </c>
      <c r="I274" s="30" t="str">
        <f>IF(($A274+7)&gt;$B$11, "", ($B$9*(($A274+7)/100)+$B$10*(($A274+7)/100)^2))</f>
        <v/>
      </c>
      <c r="J274" s="30" t="str">
        <f>IF(($A274+8)&gt;$B$11, "", ($B$9*(($A274+8)/100)+$B$10*(($A274+8)/100)^2))</f>
        <v/>
      </c>
      <c r="K274" s="30" t="str">
        <f>IF(($A274+9)&gt;$B$11, "", ($B$9*(($A274+9)/100)+$B$10*(($A274+9)/100)^2))</f>
        <v/>
      </c>
    </row>
    <row r="275">
      <c r="A275" s="11">
        <v>240</v>
      </c>
      <c r="B275" s="30" t="str">
        <f>IF(($A275+0)&gt;$B$11, "", ($B$9*(($A275+0)/100)+$B$10*(($A275+0)/100)^2))</f>
        <v/>
      </c>
      <c r="C275" s="30" t="str">
        <f>IF(($A275+1)&gt;$B$11, "", ($B$9*(($A275+1)/100)+$B$10*(($A275+1)/100)^2))</f>
        <v/>
      </c>
      <c r="D275" s="30" t="str">
        <f>IF(($A275+2)&gt;$B$11, "", ($B$9*(($A275+2)/100)+$B$10*(($A275+2)/100)^2))</f>
        <v/>
      </c>
      <c r="E275" s="30" t="str">
        <f>IF(($A275+3)&gt;$B$11, "", ($B$9*(($A275+3)/100)+$B$10*(($A275+3)/100)^2))</f>
        <v/>
      </c>
      <c r="F275" s="30" t="str">
        <f>IF(($A275+4)&gt;$B$11, "", ($B$9*(($A275+4)/100)+$B$10*(($A275+4)/100)^2))</f>
        <v/>
      </c>
      <c r="G275" s="30" t="str">
        <f>IF(($A275+5)&gt;$B$11, "", ($B$9*(($A275+5)/100)+$B$10*(($A275+5)/100)^2))</f>
        <v/>
      </c>
      <c r="H275" s="30" t="str">
        <f>IF(($A275+6)&gt;$B$11, "", ($B$9*(($A275+6)/100)+$B$10*(($A275+6)/100)^2))</f>
        <v/>
      </c>
      <c r="I275" s="30" t="str">
        <f>IF(($A275+7)&gt;$B$11, "", ($B$9*(($A275+7)/100)+$B$10*(($A275+7)/100)^2))</f>
        <v/>
      </c>
      <c r="J275" s="30" t="str">
        <f>IF(($A275+8)&gt;$B$11, "", ($B$9*(($A275+8)/100)+$B$10*(($A275+8)/100)^2))</f>
        <v/>
      </c>
      <c r="K275" s="30" t="str">
        <f>IF(($A275+9)&gt;$B$11, "", ($B$9*(($A275+9)/100)+$B$10*(($A275+9)/100)^2))</f>
        <v/>
      </c>
    </row>
    <row r="276">
      <c r="A276" s="11">
        <v>250</v>
      </c>
      <c r="B276" s="30" t="str">
        <f>IF(($A276+0)&gt;$B$11, "", ($B$9*(($A276+0)/100)+$B$10*(($A276+0)/100)^2))</f>
        <v/>
      </c>
      <c r="C276" s="30" t="str">
        <f>IF(($A276+1)&gt;$B$11, "", ($B$9*(($A276+1)/100)+$B$10*(($A276+1)/100)^2))</f>
        <v/>
      </c>
      <c r="D276" s="30" t="str">
        <f>IF(($A276+2)&gt;$B$11, "", ($B$9*(($A276+2)/100)+$B$10*(($A276+2)/100)^2))</f>
        <v/>
      </c>
      <c r="E276" s="30" t="str">
        <f>IF(($A276+3)&gt;$B$11, "", ($B$9*(($A276+3)/100)+$B$10*(($A276+3)/100)^2))</f>
        <v/>
      </c>
      <c r="F276" s="30" t="str">
        <f>IF(($A276+4)&gt;$B$11, "", ($B$9*(($A276+4)/100)+$B$10*(($A276+4)/100)^2))</f>
        <v/>
      </c>
      <c r="G276" s="30" t="str">
        <f>IF(($A276+5)&gt;$B$11, "", ($B$9*(($A276+5)/100)+$B$10*(($A276+5)/100)^2))</f>
        <v/>
      </c>
      <c r="H276" s="30" t="str">
        <f>IF(($A276+6)&gt;$B$11, "", ($B$9*(($A276+6)/100)+$B$10*(($A276+6)/100)^2))</f>
        <v/>
      </c>
      <c r="I276" s="30" t="str">
        <f>IF(($A276+7)&gt;$B$11, "", ($B$9*(($A276+7)/100)+$B$10*(($A276+7)/100)^2))</f>
        <v/>
      </c>
      <c r="J276" s="30" t="str">
        <f>IF(($A276+8)&gt;$B$11, "", ($B$9*(($A276+8)/100)+$B$10*(($A276+8)/100)^2))</f>
        <v/>
      </c>
      <c r="K276" s="30" t="str">
        <f>IF(($A276+9)&gt;$B$11, "", ($B$9*(($A276+9)/100)+$B$10*(($A276+9)/100)^2))</f>
        <v/>
      </c>
    </row>
    <row r="277">
      <c r="A277" s="11">
        <v>260</v>
      </c>
      <c r="B277" s="30" t="str">
        <f>IF(($A277+0)&gt;$B$11, "", ($B$9*(($A277+0)/100)+$B$10*(($A277+0)/100)^2))</f>
        <v/>
      </c>
      <c r="C277" s="30" t="str">
        <f>IF(($A277+1)&gt;$B$11, "", ($B$9*(($A277+1)/100)+$B$10*(($A277+1)/100)^2))</f>
        <v/>
      </c>
      <c r="D277" s="30" t="str">
        <f>IF(($A277+2)&gt;$B$11, "", ($B$9*(($A277+2)/100)+$B$10*(($A277+2)/100)^2))</f>
        <v/>
      </c>
      <c r="E277" s="30" t="str">
        <f>IF(($A277+3)&gt;$B$11, "", ($B$9*(($A277+3)/100)+$B$10*(($A277+3)/100)^2))</f>
        <v/>
      </c>
      <c r="F277" s="30" t="str">
        <f>IF(($A277+4)&gt;$B$11, "", ($B$9*(($A277+4)/100)+$B$10*(($A277+4)/100)^2))</f>
        <v/>
      </c>
      <c r="G277" s="30" t="str">
        <f>IF(($A277+5)&gt;$B$11, "", ($B$9*(($A277+5)/100)+$B$10*(($A277+5)/100)^2))</f>
        <v/>
      </c>
      <c r="H277" s="30" t="str">
        <f>IF(($A277+6)&gt;$B$11, "", ($B$9*(($A277+6)/100)+$B$10*(($A277+6)/100)^2))</f>
        <v/>
      </c>
      <c r="I277" s="30" t="str">
        <f>IF(($A277+7)&gt;$B$11, "", ($B$9*(($A277+7)/100)+$B$10*(($A277+7)/100)^2))</f>
        <v/>
      </c>
      <c r="J277" s="30" t="str">
        <f>IF(($A277+8)&gt;$B$11, "", ($B$9*(($A277+8)/100)+$B$10*(($A277+8)/100)^2))</f>
        <v/>
      </c>
      <c r="K277" s="30" t="str">
        <f>IF(($A277+9)&gt;$B$11, "", ($B$9*(($A277+9)/100)+$B$10*(($A277+9)/100)^2))</f>
        <v/>
      </c>
    </row>
    <row r="278">
      <c r="A278" s="11">
        <v>270</v>
      </c>
      <c r="B278" s="30" t="str">
        <f>IF(($A278+0)&gt;$B$11, "", ($B$9*(($A278+0)/100)+$B$10*(($A278+0)/100)^2))</f>
        <v/>
      </c>
      <c r="C278" s="30" t="str">
        <f>IF(($A278+1)&gt;$B$11, "", ($B$9*(($A278+1)/100)+$B$10*(($A278+1)/100)^2))</f>
        <v/>
      </c>
      <c r="D278" s="30" t="str">
        <f>IF(($A278+2)&gt;$B$11, "", ($B$9*(($A278+2)/100)+$B$10*(($A278+2)/100)^2))</f>
        <v/>
      </c>
      <c r="E278" s="30" t="str">
        <f>IF(($A278+3)&gt;$B$11, "", ($B$9*(($A278+3)/100)+$B$10*(($A278+3)/100)^2))</f>
        <v/>
      </c>
      <c r="F278" s="30" t="str">
        <f>IF(($A278+4)&gt;$B$11, "", ($B$9*(($A278+4)/100)+$B$10*(($A278+4)/100)^2))</f>
        <v/>
      </c>
      <c r="G278" s="30" t="str">
        <f>IF(($A278+5)&gt;$B$11, "", ($B$9*(($A278+5)/100)+$B$10*(($A278+5)/100)^2))</f>
        <v/>
      </c>
      <c r="H278" s="30" t="str">
        <f>IF(($A278+6)&gt;$B$11, "", ($B$9*(($A278+6)/100)+$B$10*(($A278+6)/100)^2))</f>
        <v/>
      </c>
      <c r="I278" s="30" t="str">
        <f>IF(($A278+7)&gt;$B$11, "", ($B$9*(($A278+7)/100)+$B$10*(($A278+7)/100)^2))</f>
        <v/>
      </c>
      <c r="J278" s="30" t="str">
        <f>IF(($A278+8)&gt;$B$11, "", ($B$9*(($A278+8)/100)+$B$10*(($A278+8)/100)^2))</f>
        <v/>
      </c>
      <c r="K278" s="30" t="str">
        <f>IF(($A278+9)&gt;$B$11, "", ($B$9*(($A278+9)/100)+$B$10*(($A278+9)/100)^2))</f>
        <v/>
      </c>
    </row>
    <row r="279">
      <c r="A279" s="11">
        <v>280</v>
      </c>
      <c r="B279" s="30" t="str">
        <f>IF(($A279+0)&gt;$B$11, "", ($B$9*(($A279+0)/100)+$B$10*(($A279+0)/100)^2))</f>
        <v/>
      </c>
      <c r="C279" s="30" t="str">
        <f>IF(($A279+1)&gt;$B$11, "", ($B$9*(($A279+1)/100)+$B$10*(($A279+1)/100)^2))</f>
        <v/>
      </c>
      <c r="D279" s="30" t="str">
        <f>IF(($A279+2)&gt;$B$11, "", ($B$9*(($A279+2)/100)+$B$10*(($A279+2)/100)^2))</f>
        <v/>
      </c>
      <c r="E279" s="30" t="str">
        <f>IF(($A279+3)&gt;$B$11, "", ($B$9*(($A279+3)/100)+$B$10*(($A279+3)/100)^2))</f>
        <v/>
      </c>
      <c r="F279" s="30" t="str">
        <f>IF(($A279+4)&gt;$B$11, "", ($B$9*(($A279+4)/100)+$B$10*(($A279+4)/100)^2))</f>
        <v/>
      </c>
      <c r="G279" s="30" t="str">
        <f>IF(($A279+5)&gt;$B$11, "", ($B$9*(($A279+5)/100)+$B$10*(($A279+5)/100)^2))</f>
        <v/>
      </c>
      <c r="H279" s="30" t="str">
        <f>IF(($A279+6)&gt;$B$11, "", ($B$9*(($A279+6)/100)+$B$10*(($A279+6)/100)^2))</f>
        <v/>
      </c>
      <c r="I279" s="30" t="str">
        <f>IF(($A279+7)&gt;$B$11, "", ($B$9*(($A279+7)/100)+$B$10*(($A279+7)/100)^2))</f>
        <v/>
      </c>
      <c r="J279" s="30" t="str">
        <f>IF(($A279+8)&gt;$B$11, "", ($B$9*(($A279+8)/100)+$B$10*(($A279+8)/100)^2))</f>
        <v/>
      </c>
      <c r="K279" s="30" t="str">
        <f>IF(($A279+9)&gt;$B$11, "", ($B$9*(($A279+9)/100)+$B$10*(($A279+9)/100)^2))</f>
        <v/>
      </c>
    </row>
    <row r="280">
      <c r="A280" s="11">
        <v>290</v>
      </c>
      <c r="B280" s="30" t="str">
        <f>IF(($A280+0)&gt;$B$11, "", ($B$9*(($A280+0)/100)+$B$10*(($A280+0)/100)^2))</f>
        <v/>
      </c>
      <c r="C280" s="30" t="str">
        <f>IF(($A280+1)&gt;$B$11, "", ($B$9*(($A280+1)/100)+$B$10*(($A280+1)/100)^2))</f>
        <v/>
      </c>
      <c r="D280" s="30" t="str">
        <f>IF(($A280+2)&gt;$B$11, "", ($B$9*(($A280+2)/100)+$B$10*(($A280+2)/100)^2))</f>
        <v/>
      </c>
      <c r="E280" s="30" t="str">
        <f>IF(($A280+3)&gt;$B$11, "", ($B$9*(($A280+3)/100)+$B$10*(($A280+3)/100)^2))</f>
        <v/>
      </c>
      <c r="F280" s="30" t="str">
        <f>IF(($A280+4)&gt;$B$11, "", ($B$9*(($A280+4)/100)+$B$10*(($A280+4)/100)^2))</f>
        <v/>
      </c>
      <c r="G280" s="30" t="str">
        <f>IF(($A280+5)&gt;$B$11, "", ($B$9*(($A280+5)/100)+$B$10*(($A280+5)/100)^2))</f>
        <v/>
      </c>
      <c r="H280" s="30" t="str">
        <f>IF(($A280+6)&gt;$B$11, "", ($B$9*(($A280+6)/100)+$B$10*(($A280+6)/100)^2))</f>
        <v/>
      </c>
      <c r="I280" s="30" t="str">
        <f>IF(($A280+7)&gt;$B$11, "", ($B$9*(($A280+7)/100)+$B$10*(($A280+7)/100)^2))</f>
        <v/>
      </c>
      <c r="J280" s="30" t="str">
        <f>IF(($A280+8)&gt;$B$11, "", ($B$9*(($A280+8)/100)+$B$10*(($A280+8)/100)^2))</f>
        <v/>
      </c>
      <c r="K280" s="30" t="str">
        <f>IF(($A280+9)&gt;$B$11, "", ($B$9*(($A280+9)/100)+$B$10*(($A280+9)/100)^2))</f>
        <v/>
      </c>
    </row>
    <row r="281">
      <c r="A281" s="11">
        <v>300</v>
      </c>
      <c r="B281" s="30" t="str">
        <f>IF(($A281+0)&gt;$B$11, "", ($B$9*(($A281+0)/100)+$B$10*(($A281+0)/100)^2))</f>
        <v/>
      </c>
      <c r="C281" s="30" t="str">
        <f>IF(($A281+1)&gt;$B$11, "", ($B$9*(($A281+1)/100)+$B$10*(($A281+1)/100)^2))</f>
        <v/>
      </c>
      <c r="D281" s="30" t="str">
        <f>IF(($A281+2)&gt;$B$11, "", ($B$9*(($A281+2)/100)+$B$10*(($A281+2)/100)^2))</f>
        <v/>
      </c>
      <c r="E281" s="30" t="str">
        <f>IF(($A281+3)&gt;$B$11, "", ($B$9*(($A281+3)/100)+$B$10*(($A281+3)/100)^2))</f>
        <v/>
      </c>
      <c r="F281" s="30" t="str">
        <f>IF(($A281+4)&gt;$B$11, "", ($B$9*(($A281+4)/100)+$B$10*(($A281+4)/100)^2))</f>
        <v/>
      </c>
      <c r="G281" s="30" t="str">
        <f>IF(($A281+5)&gt;$B$11, "", ($B$9*(($A281+5)/100)+$B$10*(($A281+5)/100)^2))</f>
        <v/>
      </c>
      <c r="H281" s="30" t="str">
        <f>IF(($A281+6)&gt;$B$11, "", ($B$9*(($A281+6)/100)+$B$10*(($A281+6)/100)^2))</f>
        <v/>
      </c>
      <c r="I281" s="30" t="str">
        <f>IF(($A281+7)&gt;$B$11, "", ($B$9*(($A281+7)/100)+$B$10*(($A281+7)/100)^2))</f>
        <v/>
      </c>
      <c r="J281" s="30" t="str">
        <f>IF(($A281+8)&gt;$B$11, "", ($B$9*(($A281+8)/100)+$B$10*(($A281+8)/100)^2))</f>
        <v/>
      </c>
      <c r="K281" s="30" t="str">
        <f>IF(($A281+9)&gt;$B$11, "", ($B$9*(($A281+9)/100)+$B$10*(($A281+9)/100)^2))</f>
        <v/>
      </c>
    </row>
    <row r="282">
      <c r="A282" s="11">
        <v>310</v>
      </c>
      <c r="B282" s="30" t="str">
        <f>IF(($A282+0)&gt;$B$11, "", ($B$9*(($A282+0)/100)+$B$10*(($A282+0)/100)^2))</f>
        <v/>
      </c>
      <c r="C282" s="30" t="str">
        <f>IF(($A282+1)&gt;$B$11, "", ($B$9*(($A282+1)/100)+$B$10*(($A282+1)/100)^2))</f>
        <v/>
      </c>
      <c r="D282" s="30" t="str">
        <f>IF(($A282+2)&gt;$B$11, "", ($B$9*(($A282+2)/100)+$B$10*(($A282+2)/100)^2))</f>
        <v/>
      </c>
      <c r="E282" s="30" t="str">
        <f>IF(($A282+3)&gt;$B$11, "", ($B$9*(($A282+3)/100)+$B$10*(($A282+3)/100)^2))</f>
        <v/>
      </c>
      <c r="F282" s="30" t="str">
        <f>IF(($A282+4)&gt;$B$11, "", ($B$9*(($A282+4)/100)+$B$10*(($A282+4)/100)^2))</f>
        <v/>
      </c>
      <c r="G282" s="30" t="str">
        <f>IF(($A282+5)&gt;$B$11, "", ($B$9*(($A282+5)/100)+$B$10*(($A282+5)/100)^2))</f>
        <v/>
      </c>
      <c r="H282" s="30" t="str">
        <f>IF(($A282+6)&gt;$B$11, "", ($B$9*(($A282+6)/100)+$B$10*(($A282+6)/100)^2))</f>
        <v/>
      </c>
      <c r="I282" s="30" t="str">
        <f>IF(($A282+7)&gt;$B$11, "", ($B$9*(($A282+7)/100)+$B$10*(($A282+7)/100)^2))</f>
        <v/>
      </c>
      <c r="J282" s="30" t="str">
        <f>IF(($A282+8)&gt;$B$11, "", ($B$9*(($A282+8)/100)+$B$10*(($A282+8)/100)^2))</f>
        <v/>
      </c>
      <c r="K282" s="30" t="str">
        <f>IF(($A282+9)&gt;$B$11, "", ($B$9*(($A282+9)/100)+$B$10*(($A282+9)/100)^2))</f>
        <v/>
      </c>
    </row>
    <row r="283">
      <c r="A283" s="11">
        <v>320</v>
      </c>
      <c r="B283" s="30" t="str">
        <f>IF(($A283+0)&gt;$B$11, "", ($B$9*(($A283+0)/100)+$B$10*(($A283+0)/100)^2))</f>
        <v/>
      </c>
      <c r="C283" s="30" t="str">
        <f>IF(($A283+1)&gt;$B$11, "", ($B$9*(($A283+1)/100)+$B$10*(($A283+1)/100)^2))</f>
        <v/>
      </c>
      <c r="D283" s="30" t="str">
        <f>IF(($A283+2)&gt;$B$11, "", ($B$9*(($A283+2)/100)+$B$10*(($A283+2)/100)^2))</f>
        <v/>
      </c>
      <c r="E283" s="30" t="str">
        <f>IF(($A283+3)&gt;$B$11, "", ($B$9*(($A283+3)/100)+$B$10*(($A283+3)/100)^2))</f>
        <v/>
      </c>
      <c r="F283" s="30" t="str">
        <f>IF(($A283+4)&gt;$B$11, "", ($B$9*(($A283+4)/100)+$B$10*(($A283+4)/100)^2))</f>
        <v/>
      </c>
      <c r="G283" s="30" t="str">
        <f>IF(($A283+5)&gt;$B$11, "", ($B$9*(($A283+5)/100)+$B$10*(($A283+5)/100)^2))</f>
        <v/>
      </c>
      <c r="H283" s="30" t="str">
        <f>IF(($A283+6)&gt;$B$11, "", ($B$9*(($A283+6)/100)+$B$10*(($A283+6)/100)^2))</f>
        <v/>
      </c>
      <c r="I283" s="30" t="str">
        <f>IF(($A283+7)&gt;$B$11, "", ($B$9*(($A283+7)/100)+$B$10*(($A283+7)/100)^2))</f>
        <v/>
      </c>
      <c r="J283" s="30" t="str">
        <f>IF(($A283+8)&gt;$B$11, "", ($B$9*(($A283+8)/100)+$B$10*(($A283+8)/100)^2))</f>
        <v/>
      </c>
      <c r="K283" s="30" t="str">
        <f>IF(($A283+9)&gt;$B$11, "", ($B$9*(($A283+9)/100)+$B$10*(($A283+9)/100)^2))</f>
        <v/>
      </c>
    </row>
    <row r="284">
      <c r="A284" s="11">
        <v>330</v>
      </c>
      <c r="B284" s="30" t="str">
        <f>IF(($A284+0)&gt;$B$11, "", ($B$9*(($A284+0)/100)+$B$10*(($A284+0)/100)^2))</f>
        <v/>
      </c>
      <c r="C284" s="30" t="str">
        <f>IF(($A284+1)&gt;$B$11, "", ($B$9*(($A284+1)/100)+$B$10*(($A284+1)/100)^2))</f>
        <v/>
      </c>
      <c r="D284" s="30" t="str">
        <f>IF(($A284+2)&gt;$B$11, "", ($B$9*(($A284+2)/100)+$B$10*(($A284+2)/100)^2))</f>
        <v/>
      </c>
      <c r="E284" s="30" t="str">
        <f>IF(($A284+3)&gt;$B$11, "", ($B$9*(($A284+3)/100)+$B$10*(($A284+3)/100)^2))</f>
        <v/>
      </c>
      <c r="F284" s="30" t="str">
        <f>IF(($A284+4)&gt;$B$11, "", ($B$9*(($A284+4)/100)+$B$10*(($A284+4)/100)^2))</f>
        <v/>
      </c>
      <c r="G284" s="30" t="str">
        <f>IF(($A284+5)&gt;$B$11, "", ($B$9*(($A284+5)/100)+$B$10*(($A284+5)/100)^2))</f>
        <v/>
      </c>
      <c r="H284" s="30" t="str">
        <f>IF(($A284+6)&gt;$B$11, "", ($B$9*(($A284+6)/100)+$B$10*(($A284+6)/100)^2))</f>
        <v/>
      </c>
      <c r="I284" s="30" t="str">
        <f>IF(($A284+7)&gt;$B$11, "", ($B$9*(($A284+7)/100)+$B$10*(($A284+7)/100)^2))</f>
        <v/>
      </c>
      <c r="J284" s="30" t="str">
        <f>IF(($A284+8)&gt;$B$11, "", ($B$9*(($A284+8)/100)+$B$10*(($A284+8)/100)^2))</f>
        <v/>
      </c>
      <c r="K284" s="30" t="str">
        <f>IF(($A284+9)&gt;$B$11, "", ($B$9*(($A284+9)/100)+$B$10*(($A284+9)/100)^2))</f>
        <v/>
      </c>
    </row>
    <row r="285">
      <c r="A285" s="11">
        <v>340</v>
      </c>
      <c r="B285" s="30" t="str">
        <f>IF(($A285+0)&gt;$B$11, "", ($B$9*(($A285+0)/100)+$B$10*(($A285+0)/100)^2))</f>
        <v/>
      </c>
      <c r="C285" s="30" t="str">
        <f>IF(($A285+1)&gt;$B$11, "", ($B$9*(($A285+1)/100)+$B$10*(($A285+1)/100)^2))</f>
        <v/>
      </c>
      <c r="D285" s="30" t="str">
        <f>IF(($A285+2)&gt;$B$11, "", ($B$9*(($A285+2)/100)+$B$10*(($A285+2)/100)^2))</f>
        <v/>
      </c>
      <c r="E285" s="30" t="str">
        <f>IF(($A285+3)&gt;$B$11, "", ($B$9*(($A285+3)/100)+$B$10*(($A285+3)/100)^2))</f>
        <v/>
      </c>
      <c r="F285" s="30" t="str">
        <f>IF(($A285+4)&gt;$B$11, "", ($B$9*(($A285+4)/100)+$B$10*(($A285+4)/100)^2))</f>
        <v/>
      </c>
      <c r="G285" s="30" t="str">
        <f>IF(($A285+5)&gt;$B$11, "", ($B$9*(($A285+5)/100)+$B$10*(($A285+5)/100)^2))</f>
        <v/>
      </c>
      <c r="H285" s="30" t="str">
        <f>IF(($A285+6)&gt;$B$11, "", ($B$9*(($A285+6)/100)+$B$10*(($A285+6)/100)^2))</f>
        <v/>
      </c>
      <c r="I285" s="30" t="str">
        <f>IF(($A285+7)&gt;$B$11, "", ($B$9*(($A285+7)/100)+$B$10*(($A285+7)/100)^2))</f>
        <v/>
      </c>
      <c r="J285" s="30" t="str">
        <f>IF(($A285+8)&gt;$B$11, "", ($B$9*(($A285+8)/100)+$B$10*(($A285+8)/100)^2))</f>
        <v/>
      </c>
      <c r="K285" s="30" t="str">
        <f>IF(($A285+9)&gt;$B$11, "", ($B$9*(($A285+9)/100)+$B$10*(($A285+9)/100)^2))</f>
        <v/>
      </c>
    </row>
    <row r="286">
      <c r="A286" s="11">
        <v>350</v>
      </c>
      <c r="B286" s="30" t="str">
        <f>IF(($A286+0)&gt;$B$11, "", ($B$9*(($A286+0)/100)+$B$10*(($A286+0)/100)^2))</f>
        <v/>
      </c>
      <c r="C286" s="30" t="str">
        <f>IF(($A286+1)&gt;$B$11, "", ($B$9*(($A286+1)/100)+$B$10*(($A286+1)/100)^2))</f>
        <v/>
      </c>
      <c r="D286" s="30" t="str">
        <f>IF(($A286+2)&gt;$B$11, "", ($B$9*(($A286+2)/100)+$B$10*(($A286+2)/100)^2))</f>
        <v/>
      </c>
      <c r="E286" s="30" t="str">
        <f>IF(($A286+3)&gt;$B$11, "", ($B$9*(($A286+3)/100)+$B$10*(($A286+3)/100)^2))</f>
        <v/>
      </c>
      <c r="F286" s="30" t="str">
        <f>IF(($A286+4)&gt;$B$11, "", ($B$9*(($A286+4)/100)+$B$10*(($A286+4)/100)^2))</f>
        <v/>
      </c>
      <c r="G286" s="30" t="str">
        <f>IF(($A286+5)&gt;$B$11, "", ($B$9*(($A286+5)/100)+$B$10*(($A286+5)/100)^2))</f>
        <v/>
      </c>
      <c r="H286" s="30" t="str">
        <f>IF(($A286+6)&gt;$B$11, "", ($B$9*(($A286+6)/100)+$B$10*(($A286+6)/100)^2))</f>
        <v/>
      </c>
      <c r="I286" s="30" t="str">
        <f>IF(($A286+7)&gt;$B$11, "", ($B$9*(($A286+7)/100)+$B$10*(($A286+7)/100)^2))</f>
        <v/>
      </c>
      <c r="J286" s="30" t="str">
        <f>IF(($A286+8)&gt;$B$11, "", ($B$9*(($A286+8)/100)+$B$10*(($A286+8)/100)^2))</f>
        <v/>
      </c>
      <c r="K286" s="30" t="str">
        <f>IF(($A286+9)&gt;$B$11, "", ($B$9*(($A286+9)/100)+$B$10*(($A286+9)/100)^2))</f>
        <v/>
      </c>
    </row>
    <row r="287">
      <c r="A287" s="11">
        <v>360</v>
      </c>
      <c r="B287" s="30" t="str">
        <f>IF(($A287+0)&gt;$B$11, "", ($B$9*(($A287+0)/100)+$B$10*(($A287+0)/100)^2))</f>
        <v/>
      </c>
      <c r="C287" s="30" t="str">
        <f>IF(($A287+1)&gt;$B$11, "", ($B$9*(($A287+1)/100)+$B$10*(($A287+1)/100)^2))</f>
        <v/>
      </c>
      <c r="D287" s="30" t="str">
        <f>IF(($A287+2)&gt;$B$11, "", ($B$9*(($A287+2)/100)+$B$10*(($A287+2)/100)^2))</f>
        <v/>
      </c>
      <c r="E287" s="30" t="str">
        <f>IF(($A287+3)&gt;$B$11, "", ($B$9*(($A287+3)/100)+$B$10*(($A287+3)/100)^2))</f>
        <v/>
      </c>
      <c r="F287" s="30" t="str">
        <f>IF(($A287+4)&gt;$B$11, "", ($B$9*(($A287+4)/100)+$B$10*(($A287+4)/100)^2))</f>
        <v/>
      </c>
      <c r="G287" s="30" t="str">
        <f>IF(($A287+5)&gt;$B$11, "", ($B$9*(($A287+5)/100)+$B$10*(($A287+5)/100)^2))</f>
        <v/>
      </c>
      <c r="H287" s="30" t="str">
        <f>IF(($A287+6)&gt;$B$11, "", ($B$9*(($A287+6)/100)+$B$10*(($A287+6)/100)^2))</f>
        <v/>
      </c>
      <c r="I287" s="30" t="str">
        <f>IF(($A287+7)&gt;$B$11, "", ($B$9*(($A287+7)/100)+$B$10*(($A287+7)/100)^2))</f>
        <v/>
      </c>
      <c r="J287" s="30" t="str">
        <f>IF(($A287+8)&gt;$B$11, "", ($B$9*(($A287+8)/100)+$B$10*(($A287+8)/100)^2))</f>
        <v/>
      </c>
      <c r="K287" s="30" t="str">
        <f>IF(($A287+9)&gt;$B$11, "", ($B$9*(($A287+9)/100)+$B$10*(($A287+9)/100)^2))</f>
        <v/>
      </c>
    </row>
    <row r="288">
      <c r="A288" s="11">
        <v>370</v>
      </c>
      <c r="B288" s="30" t="str">
        <f>IF(($A288+0)&gt;$B$11, "", ($B$9*(($A288+0)/100)+$B$10*(($A288+0)/100)^2))</f>
        <v/>
      </c>
      <c r="C288" s="30" t="str">
        <f>IF(($A288+1)&gt;$B$11, "", ($B$9*(($A288+1)/100)+$B$10*(($A288+1)/100)^2))</f>
        <v/>
      </c>
      <c r="D288" s="30" t="str">
        <f>IF(($A288+2)&gt;$B$11, "", ($B$9*(($A288+2)/100)+$B$10*(($A288+2)/100)^2))</f>
        <v/>
      </c>
      <c r="E288" s="30" t="str">
        <f>IF(($A288+3)&gt;$B$11, "", ($B$9*(($A288+3)/100)+$B$10*(($A288+3)/100)^2))</f>
        <v/>
      </c>
      <c r="F288" s="30" t="str">
        <f>IF(($A288+4)&gt;$B$11, "", ($B$9*(($A288+4)/100)+$B$10*(($A288+4)/100)^2))</f>
        <v/>
      </c>
      <c r="G288" s="30" t="str">
        <f>IF(($A288+5)&gt;$B$11, "", ($B$9*(($A288+5)/100)+$B$10*(($A288+5)/100)^2))</f>
        <v/>
      </c>
      <c r="H288" s="30" t="str">
        <f>IF(($A288+6)&gt;$B$11, "", ($B$9*(($A288+6)/100)+$B$10*(($A288+6)/100)^2))</f>
        <v/>
      </c>
      <c r="I288" s="30" t="str">
        <f>IF(($A288+7)&gt;$B$11, "", ($B$9*(($A288+7)/100)+$B$10*(($A288+7)/100)^2))</f>
        <v/>
      </c>
      <c r="J288" s="30" t="str">
        <f>IF(($A288+8)&gt;$B$11, "", ($B$9*(($A288+8)/100)+$B$10*(($A288+8)/100)^2))</f>
        <v/>
      </c>
      <c r="K288" s="30" t="str">
        <f>IF(($A288+9)&gt;$B$11, "", ($B$9*(($A288+9)/100)+$B$10*(($A288+9)/100)^2))</f>
        <v/>
      </c>
    </row>
    <row r="289">
      <c r="A289" s="11">
        <v>380</v>
      </c>
      <c r="B289" s="30" t="str">
        <f>IF(($A289+0)&gt;$B$11, "", ($B$9*(($A289+0)/100)+$B$10*(($A289+0)/100)^2))</f>
        <v/>
      </c>
      <c r="C289" s="30" t="str">
        <f>IF(($A289+1)&gt;$B$11, "", ($B$9*(($A289+1)/100)+$B$10*(($A289+1)/100)^2))</f>
        <v/>
      </c>
      <c r="D289" s="30" t="str">
        <f>IF(($A289+2)&gt;$B$11, "", ($B$9*(($A289+2)/100)+$B$10*(($A289+2)/100)^2))</f>
        <v/>
      </c>
      <c r="E289" s="30" t="str">
        <f>IF(($A289+3)&gt;$B$11, "", ($B$9*(($A289+3)/100)+$B$10*(($A289+3)/100)^2))</f>
        <v/>
      </c>
      <c r="F289" s="30" t="str">
        <f>IF(($A289+4)&gt;$B$11, "", ($B$9*(($A289+4)/100)+$B$10*(($A289+4)/100)^2))</f>
        <v/>
      </c>
      <c r="G289" s="30" t="str">
        <f>IF(($A289+5)&gt;$B$11, "", ($B$9*(($A289+5)/100)+$B$10*(($A289+5)/100)^2))</f>
        <v/>
      </c>
      <c r="H289" s="30" t="str">
        <f>IF(($A289+6)&gt;$B$11, "", ($B$9*(($A289+6)/100)+$B$10*(($A289+6)/100)^2))</f>
        <v/>
      </c>
      <c r="I289" s="30" t="str">
        <f>IF(($A289+7)&gt;$B$11, "", ($B$9*(($A289+7)/100)+$B$10*(($A289+7)/100)^2))</f>
        <v/>
      </c>
      <c r="J289" s="30" t="str">
        <f>IF(($A289+8)&gt;$B$11, "", ($B$9*(($A289+8)/100)+$B$10*(($A289+8)/100)^2))</f>
        <v/>
      </c>
      <c r="K289" s="30" t="str">
        <f>IF(($A289+9)&gt;$B$11, "", ($B$9*(($A289+9)/100)+$B$10*(($A289+9)/100)^2))</f>
        <v/>
      </c>
    </row>
    <row r="290">
      <c r="A290" s="11">
        <v>390</v>
      </c>
      <c r="B290" s="30" t="str">
        <f>IF(($A290+0)&gt;$B$11, "", ($B$9*(($A290+0)/100)+$B$10*(($A290+0)/100)^2))</f>
        <v/>
      </c>
      <c r="C290" s="30" t="str">
        <f>IF(($A290+1)&gt;$B$11, "", ($B$9*(($A290+1)/100)+$B$10*(($A290+1)/100)^2))</f>
        <v/>
      </c>
      <c r="D290" s="30" t="str">
        <f>IF(($A290+2)&gt;$B$11, "", ($B$9*(($A290+2)/100)+$B$10*(($A290+2)/100)^2))</f>
        <v/>
      </c>
      <c r="E290" s="30" t="str">
        <f>IF(($A290+3)&gt;$B$11, "", ($B$9*(($A290+3)/100)+$B$10*(($A290+3)/100)^2))</f>
        <v/>
      </c>
      <c r="F290" s="30" t="str">
        <f>IF(($A290+4)&gt;$B$11, "", ($B$9*(($A290+4)/100)+$B$10*(($A290+4)/100)^2))</f>
        <v/>
      </c>
      <c r="G290" s="30" t="str">
        <f>IF(($A290+5)&gt;$B$11, "", ($B$9*(($A290+5)/100)+$B$10*(($A290+5)/100)^2))</f>
        <v/>
      </c>
      <c r="H290" s="30" t="str">
        <f>IF(($A290+6)&gt;$B$11, "", ($B$9*(($A290+6)/100)+$B$10*(($A290+6)/100)^2))</f>
        <v/>
      </c>
      <c r="I290" s="30" t="str">
        <f>IF(($A290+7)&gt;$B$11, "", ($B$9*(($A290+7)/100)+$B$10*(($A290+7)/100)^2))</f>
        <v/>
      </c>
      <c r="J290" s="30" t="str">
        <f>IF(($A290+8)&gt;$B$11, "", ($B$9*(($A290+8)/100)+$B$10*(($A290+8)/100)^2))</f>
        <v/>
      </c>
      <c r="K290" s="30" t="str">
        <f>IF(($A290+9)&gt;$B$11, "", ($B$9*(($A290+9)/100)+$B$10*(($A290+9)/100)^2))</f>
        <v/>
      </c>
    </row>
    <row r="291">
      <c r="A291" s="11">
        <v>400</v>
      </c>
      <c r="B291" s="30" t="str">
        <f>IF(($A291+0)&gt;$B$11, "", ($B$9*(($A291+0)/100)+$B$10*(($A291+0)/100)^2))</f>
        <v/>
      </c>
      <c r="C291" s="30" t="str">
        <f>IF(($A291+1)&gt;$B$11, "", ($B$9*(($A291+1)/100)+$B$10*(($A291+1)/100)^2))</f>
        <v/>
      </c>
      <c r="D291" s="30" t="str">
        <f>IF(($A291+2)&gt;$B$11, "", ($B$9*(($A291+2)/100)+$B$10*(($A291+2)/100)^2))</f>
        <v/>
      </c>
      <c r="E291" s="30" t="str">
        <f>IF(($A291+3)&gt;$B$11, "", ($B$9*(($A291+3)/100)+$B$10*(($A291+3)/100)^2))</f>
        <v/>
      </c>
      <c r="F291" s="30" t="str">
        <f>IF(($A291+4)&gt;$B$11, "", ($B$9*(($A291+4)/100)+$B$10*(($A291+4)/100)^2))</f>
        <v/>
      </c>
      <c r="G291" s="30" t="str">
        <f>IF(($A291+5)&gt;$B$11, "", ($B$9*(($A291+5)/100)+$B$10*(($A291+5)/100)^2))</f>
        <v/>
      </c>
      <c r="H291" s="30" t="str">
        <f>IF(($A291+6)&gt;$B$11, "", ($B$9*(($A291+6)/100)+$B$10*(($A291+6)/100)^2))</f>
        <v/>
      </c>
      <c r="I291" s="30" t="str">
        <f>IF(($A291+7)&gt;$B$11, "", ($B$9*(($A291+7)/100)+$B$10*(($A291+7)/100)^2))</f>
        <v/>
      </c>
      <c r="J291" s="30" t="str">
        <f>IF(($A291+8)&gt;$B$11, "", ($B$9*(($A291+8)/100)+$B$10*(($A291+8)/100)^2))</f>
        <v/>
      </c>
      <c r="K291" s="30" t="str">
        <f>IF(($A291+9)&gt;$B$11, "", ($B$9*(($A291+9)/100)+$B$10*(($A291+9)/100)^2))</f>
        <v/>
      </c>
    </row>
    <row r="292">
      <c r="A292" s="11">
        <v>410</v>
      </c>
      <c r="B292" s="30" t="str">
        <f>IF(($A292+0)&gt;$B$11, "", ($B$9*(($A292+0)/100)+$B$10*(($A292+0)/100)^2))</f>
        <v/>
      </c>
      <c r="C292" s="30" t="str">
        <f>IF(($A292+1)&gt;$B$11, "", ($B$9*(($A292+1)/100)+$B$10*(($A292+1)/100)^2))</f>
        <v/>
      </c>
      <c r="D292" s="30" t="str">
        <f>IF(($A292+2)&gt;$B$11, "", ($B$9*(($A292+2)/100)+$B$10*(($A292+2)/100)^2))</f>
        <v/>
      </c>
      <c r="E292" s="30" t="str">
        <f>IF(($A292+3)&gt;$B$11, "", ($B$9*(($A292+3)/100)+$B$10*(($A292+3)/100)^2))</f>
        <v/>
      </c>
      <c r="F292" s="30" t="str">
        <f>IF(($A292+4)&gt;$B$11, "", ($B$9*(($A292+4)/100)+$B$10*(($A292+4)/100)^2))</f>
        <v/>
      </c>
      <c r="G292" s="30" t="str">
        <f>IF(($A292+5)&gt;$B$11, "", ($B$9*(($A292+5)/100)+$B$10*(($A292+5)/100)^2))</f>
        <v/>
      </c>
      <c r="H292" s="30" t="str">
        <f>IF(($A292+6)&gt;$B$11, "", ($B$9*(($A292+6)/100)+$B$10*(($A292+6)/100)^2))</f>
        <v/>
      </c>
      <c r="I292" s="30" t="str">
        <f>IF(($A292+7)&gt;$B$11, "", ($B$9*(($A292+7)/100)+$B$10*(($A292+7)/100)^2))</f>
        <v/>
      </c>
      <c r="J292" s="30" t="str">
        <f>IF(($A292+8)&gt;$B$11, "", ($B$9*(($A292+8)/100)+$B$10*(($A292+8)/100)^2))</f>
        <v/>
      </c>
      <c r="K292" s="30" t="str">
        <f>IF(($A292+9)&gt;$B$11, "", ($B$9*(($A292+9)/100)+$B$10*(($A292+9)/100)^2))</f>
        <v/>
      </c>
    </row>
    <row r="293">
      <c r="A293" s="11">
        <v>420</v>
      </c>
      <c r="B293" s="30" t="str">
        <f>IF(($A293+0)&gt;$B$11, "", ($B$9*(($A293+0)/100)+$B$10*(($A293+0)/100)^2))</f>
        <v/>
      </c>
      <c r="C293" s="30" t="str">
        <f>IF(($A293+1)&gt;$B$11, "", ($B$9*(($A293+1)/100)+$B$10*(($A293+1)/100)^2))</f>
        <v/>
      </c>
      <c r="D293" s="30" t="str">
        <f>IF(($A293+2)&gt;$B$11, "", ($B$9*(($A293+2)/100)+$B$10*(($A293+2)/100)^2))</f>
        <v/>
      </c>
      <c r="E293" s="30" t="str">
        <f>IF(($A293+3)&gt;$B$11, "", ($B$9*(($A293+3)/100)+$B$10*(($A293+3)/100)^2))</f>
        <v/>
      </c>
      <c r="F293" s="30" t="str">
        <f>IF(($A293+4)&gt;$B$11, "", ($B$9*(($A293+4)/100)+$B$10*(($A293+4)/100)^2))</f>
        <v/>
      </c>
      <c r="G293" s="30" t="str">
        <f>IF(($A293+5)&gt;$B$11, "", ($B$9*(($A293+5)/100)+$B$10*(($A293+5)/100)^2))</f>
        <v/>
      </c>
      <c r="H293" s="30" t="str">
        <f>IF(($A293+6)&gt;$B$11, "", ($B$9*(($A293+6)/100)+$B$10*(($A293+6)/100)^2))</f>
        <v/>
      </c>
      <c r="I293" s="30" t="str">
        <f>IF(($A293+7)&gt;$B$11, "", ($B$9*(($A293+7)/100)+$B$10*(($A293+7)/100)^2))</f>
        <v/>
      </c>
      <c r="J293" s="30" t="str">
        <f>IF(($A293+8)&gt;$B$11, "", ($B$9*(($A293+8)/100)+$B$10*(($A293+8)/100)^2))</f>
        <v/>
      </c>
      <c r="K293" s="30" t="str">
        <f>IF(($A293+9)&gt;$B$11, "", ($B$9*(($A293+9)/100)+$B$10*(($A293+9)/100)^2))</f>
        <v/>
      </c>
    </row>
    <row r="294">
      <c r="A294" s="11">
        <v>430</v>
      </c>
      <c r="B294" s="30" t="str">
        <f>IF(($A294+0)&gt;$B$11, "", ($B$9*(($A294+0)/100)+$B$10*(($A294+0)/100)^2))</f>
        <v/>
      </c>
      <c r="C294" s="30" t="str">
        <f>IF(($A294+1)&gt;$B$11, "", ($B$9*(($A294+1)/100)+$B$10*(($A294+1)/100)^2))</f>
        <v/>
      </c>
      <c r="D294" s="30" t="str">
        <f>IF(($A294+2)&gt;$B$11, "", ($B$9*(($A294+2)/100)+$B$10*(($A294+2)/100)^2))</f>
        <v/>
      </c>
      <c r="E294" s="30" t="str">
        <f>IF(($A294+3)&gt;$B$11, "", ($B$9*(($A294+3)/100)+$B$10*(($A294+3)/100)^2))</f>
        <v/>
      </c>
      <c r="F294" s="30" t="str">
        <f>IF(($A294+4)&gt;$B$11, "", ($B$9*(($A294+4)/100)+$B$10*(($A294+4)/100)^2))</f>
        <v/>
      </c>
      <c r="G294" s="30" t="str">
        <f>IF(($A294+5)&gt;$B$11, "", ($B$9*(($A294+5)/100)+$B$10*(($A294+5)/100)^2))</f>
        <v/>
      </c>
      <c r="H294" s="30" t="str">
        <f>IF(($A294+6)&gt;$B$11, "", ($B$9*(($A294+6)/100)+$B$10*(($A294+6)/100)^2))</f>
        <v/>
      </c>
      <c r="I294" s="30" t="str">
        <f>IF(($A294+7)&gt;$B$11, "", ($B$9*(($A294+7)/100)+$B$10*(($A294+7)/100)^2))</f>
        <v/>
      </c>
      <c r="J294" s="30" t="str">
        <f>IF(($A294+8)&gt;$B$11, "", ($B$9*(($A294+8)/100)+$B$10*(($A294+8)/100)^2))</f>
        <v/>
      </c>
      <c r="K294" s="30" t="str">
        <f>IF(($A294+9)&gt;$B$11, "", ($B$9*(($A294+9)/100)+$B$10*(($A294+9)/100)^2))</f>
        <v/>
      </c>
    </row>
    <row r="295">
      <c r="A295" s="11">
        <v>440</v>
      </c>
      <c r="B295" s="30" t="str">
        <f>IF(($A295+0)&gt;$B$11, "", ($B$9*(($A295+0)/100)+$B$10*(($A295+0)/100)^2))</f>
        <v/>
      </c>
      <c r="C295" s="30" t="str">
        <f>IF(($A295+1)&gt;$B$11, "", ($B$9*(($A295+1)/100)+$B$10*(($A295+1)/100)^2))</f>
        <v/>
      </c>
      <c r="D295" s="30" t="str">
        <f>IF(($A295+2)&gt;$B$11, "", ($B$9*(($A295+2)/100)+$B$10*(($A295+2)/100)^2))</f>
        <v/>
      </c>
      <c r="E295" s="30" t="str">
        <f>IF(($A295+3)&gt;$B$11, "", ($B$9*(($A295+3)/100)+$B$10*(($A295+3)/100)^2))</f>
        <v/>
      </c>
      <c r="F295" s="30" t="str">
        <f>IF(($A295+4)&gt;$B$11, "", ($B$9*(($A295+4)/100)+$B$10*(($A295+4)/100)^2))</f>
        <v/>
      </c>
      <c r="G295" s="30" t="str">
        <f>IF(($A295+5)&gt;$B$11, "", ($B$9*(($A295+5)/100)+$B$10*(($A295+5)/100)^2))</f>
        <v/>
      </c>
      <c r="H295" s="30" t="str">
        <f>IF(($A295+6)&gt;$B$11, "", ($B$9*(($A295+6)/100)+$B$10*(($A295+6)/100)^2))</f>
        <v/>
      </c>
      <c r="I295" s="30" t="str">
        <f>IF(($A295+7)&gt;$B$11, "", ($B$9*(($A295+7)/100)+$B$10*(($A295+7)/100)^2))</f>
        <v/>
      </c>
      <c r="J295" s="30" t="str">
        <f>IF(($A295+8)&gt;$B$11, "", ($B$9*(($A295+8)/100)+$B$10*(($A295+8)/100)^2))</f>
        <v/>
      </c>
      <c r="K295" s="30" t="str">
        <f>IF(($A295+9)&gt;$B$11, "", ($B$9*(($A295+9)/100)+$B$10*(($A295+9)/100)^2))</f>
        <v/>
      </c>
    </row>
    <row r="296">
      <c r="A296" s="11">
        <v>450</v>
      </c>
      <c r="B296" s="30" t="str">
        <f>IF(($A296+0)&gt;$B$11, "", ($B$9*(($A296+0)/100)+$B$10*(($A296+0)/100)^2))</f>
        <v/>
      </c>
      <c r="C296" s="30" t="str">
        <f>IF(($A296+1)&gt;$B$11, "", ($B$9*(($A296+1)/100)+$B$10*(($A296+1)/100)^2))</f>
        <v/>
      </c>
      <c r="D296" s="30" t="str">
        <f>IF(($A296+2)&gt;$B$11, "", ($B$9*(($A296+2)/100)+$B$10*(($A296+2)/100)^2))</f>
        <v/>
      </c>
      <c r="E296" s="30" t="str">
        <f>IF(($A296+3)&gt;$B$11, "", ($B$9*(($A296+3)/100)+$B$10*(($A296+3)/100)^2))</f>
        <v/>
      </c>
      <c r="F296" s="30" t="str">
        <f>IF(($A296+4)&gt;$B$11, "", ($B$9*(($A296+4)/100)+$B$10*(($A296+4)/100)^2))</f>
        <v/>
      </c>
      <c r="G296" s="30" t="str">
        <f>IF(($A296+5)&gt;$B$11, "", ($B$9*(($A296+5)/100)+$B$10*(($A296+5)/100)^2))</f>
        <v/>
      </c>
      <c r="H296" s="30" t="str">
        <f>IF(($A296+6)&gt;$B$11, "", ($B$9*(($A296+6)/100)+$B$10*(($A296+6)/100)^2))</f>
        <v/>
      </c>
      <c r="I296" s="30" t="str">
        <f>IF(($A296+7)&gt;$B$11, "", ($B$9*(($A296+7)/100)+$B$10*(($A296+7)/100)^2))</f>
        <v/>
      </c>
      <c r="J296" s="30" t="str">
        <f>IF(($A296+8)&gt;$B$11, "", ($B$9*(($A296+8)/100)+$B$10*(($A296+8)/100)^2))</f>
        <v/>
      </c>
      <c r="K296" s="30" t="str">
        <f>IF(($A296+9)&gt;$B$11, "", ($B$9*(($A296+9)/100)+$B$10*(($A296+9)/100)^2))</f>
        <v/>
      </c>
    </row>
    <row r="297">
      <c r="A297" s="11">
        <v>460</v>
      </c>
      <c r="B297" s="30" t="str">
        <f>IF(($A297+0)&gt;$B$11, "", ($B$9*(($A297+0)/100)+$B$10*(($A297+0)/100)^2))</f>
        <v/>
      </c>
      <c r="C297" s="30" t="str">
        <f>IF(($A297+1)&gt;$B$11, "", ($B$9*(($A297+1)/100)+$B$10*(($A297+1)/100)^2))</f>
        <v/>
      </c>
      <c r="D297" s="30" t="str">
        <f>IF(($A297+2)&gt;$B$11, "", ($B$9*(($A297+2)/100)+$B$10*(($A297+2)/100)^2))</f>
        <v/>
      </c>
      <c r="E297" s="30" t="str">
        <f>IF(($A297+3)&gt;$B$11, "", ($B$9*(($A297+3)/100)+$B$10*(($A297+3)/100)^2))</f>
        <v/>
      </c>
      <c r="F297" s="30" t="str">
        <f>IF(($A297+4)&gt;$B$11, "", ($B$9*(($A297+4)/100)+$B$10*(($A297+4)/100)^2))</f>
        <v/>
      </c>
      <c r="G297" s="30" t="str">
        <f>IF(($A297+5)&gt;$B$11, "", ($B$9*(($A297+5)/100)+$B$10*(($A297+5)/100)^2))</f>
        <v/>
      </c>
      <c r="H297" s="30" t="str">
        <f>IF(($A297+6)&gt;$B$11, "", ($B$9*(($A297+6)/100)+$B$10*(($A297+6)/100)^2))</f>
        <v/>
      </c>
      <c r="I297" s="30" t="str">
        <f>IF(($A297+7)&gt;$B$11, "", ($B$9*(($A297+7)/100)+$B$10*(($A297+7)/100)^2))</f>
        <v/>
      </c>
      <c r="J297" s="30" t="str">
        <f>IF(($A297+8)&gt;$B$11, "", ($B$9*(($A297+8)/100)+$B$10*(($A297+8)/100)^2))</f>
        <v/>
      </c>
      <c r="K297" s="30" t="str">
        <f>IF(($A297+9)&gt;$B$11, "", ($B$9*(($A297+9)/100)+$B$10*(($A297+9)/100)^2))</f>
        <v/>
      </c>
    </row>
    <row r="298">
      <c r="A298" s="11">
        <v>470</v>
      </c>
      <c r="B298" s="30" t="str">
        <f>IF(($A298+0)&gt;$B$11, "", ($B$9*(($A298+0)/100)+$B$10*(($A298+0)/100)^2))</f>
        <v/>
      </c>
      <c r="C298" s="30" t="str">
        <f>IF(($A298+1)&gt;$B$11, "", ($B$9*(($A298+1)/100)+$B$10*(($A298+1)/100)^2))</f>
        <v/>
      </c>
      <c r="D298" s="30" t="str">
        <f>IF(($A298+2)&gt;$B$11, "", ($B$9*(($A298+2)/100)+$B$10*(($A298+2)/100)^2))</f>
        <v/>
      </c>
      <c r="E298" s="30" t="str">
        <f>IF(($A298+3)&gt;$B$11, "", ($B$9*(($A298+3)/100)+$B$10*(($A298+3)/100)^2))</f>
        <v/>
      </c>
      <c r="F298" s="30" t="str">
        <f>IF(($A298+4)&gt;$B$11, "", ($B$9*(($A298+4)/100)+$B$10*(($A298+4)/100)^2))</f>
        <v/>
      </c>
      <c r="G298" s="30" t="str">
        <f>IF(($A298+5)&gt;$B$11, "", ($B$9*(($A298+5)/100)+$B$10*(($A298+5)/100)^2))</f>
        <v/>
      </c>
      <c r="H298" s="30" t="str">
        <f>IF(($A298+6)&gt;$B$11, "", ($B$9*(($A298+6)/100)+$B$10*(($A298+6)/100)^2))</f>
        <v/>
      </c>
      <c r="I298" s="30" t="str">
        <f>IF(($A298+7)&gt;$B$11, "", ($B$9*(($A298+7)/100)+$B$10*(($A298+7)/100)^2))</f>
        <v/>
      </c>
      <c r="J298" s="30" t="str">
        <f>IF(($A298+8)&gt;$B$11, "", ($B$9*(($A298+8)/100)+$B$10*(($A298+8)/100)^2))</f>
        <v/>
      </c>
      <c r="K298" s="30" t="str">
        <f>IF(($A298+9)&gt;$B$11, "", ($B$9*(($A298+9)/100)+$B$10*(($A298+9)/100)^2))</f>
        <v/>
      </c>
    </row>
    <row r="299">
      <c r="A299" s="11">
        <v>480</v>
      </c>
      <c r="B299" s="30" t="str">
        <f>IF(($A299+0)&gt;$B$11, "", ($B$9*(($A299+0)/100)+$B$10*(($A299+0)/100)^2))</f>
        <v/>
      </c>
      <c r="C299" s="30" t="str">
        <f>IF(($A299+1)&gt;$B$11, "", ($B$9*(($A299+1)/100)+$B$10*(($A299+1)/100)^2))</f>
        <v/>
      </c>
      <c r="D299" s="30" t="str">
        <f>IF(($A299+2)&gt;$B$11, "", ($B$9*(($A299+2)/100)+$B$10*(($A299+2)/100)^2))</f>
        <v/>
      </c>
      <c r="E299" s="30" t="str">
        <f>IF(($A299+3)&gt;$B$11, "", ($B$9*(($A299+3)/100)+$B$10*(($A299+3)/100)^2))</f>
        <v/>
      </c>
      <c r="F299" s="30" t="str">
        <f>IF(($A299+4)&gt;$B$11, "", ($B$9*(($A299+4)/100)+$B$10*(($A299+4)/100)^2))</f>
        <v/>
      </c>
      <c r="G299" s="30" t="str">
        <f>IF(($A299+5)&gt;$B$11, "", ($B$9*(($A299+5)/100)+$B$10*(($A299+5)/100)^2))</f>
        <v/>
      </c>
      <c r="H299" s="30" t="str">
        <f>IF(($A299+6)&gt;$B$11, "", ($B$9*(($A299+6)/100)+$B$10*(($A299+6)/100)^2))</f>
        <v/>
      </c>
      <c r="I299" s="30" t="str">
        <f>IF(($A299+7)&gt;$B$11, "", ($B$9*(($A299+7)/100)+$B$10*(($A299+7)/100)^2))</f>
        <v/>
      </c>
      <c r="J299" s="30" t="str">
        <f>IF(($A299+8)&gt;$B$11, "", ($B$9*(($A299+8)/100)+$B$10*(($A299+8)/100)^2))</f>
        <v/>
      </c>
      <c r="K299" s="30" t="str">
        <f>IF(($A299+9)&gt;$B$11, "", ($B$9*(($A299+9)/100)+$B$10*(($A299+9)/100)^2))</f>
        <v/>
      </c>
    </row>
    <row r="300">
      <c r="A300" s="11">
        <v>490</v>
      </c>
      <c r="B300" s="30" t="str">
        <f>IF(($A300+0)&gt;$B$11, "", ($B$9*(($A300+0)/100)+$B$10*(($A300+0)/100)^2))</f>
        <v/>
      </c>
      <c r="C300" s="30" t="str">
        <f>IF(($A300+1)&gt;$B$11, "", ($B$9*(($A300+1)/100)+$B$10*(($A300+1)/100)^2))</f>
        <v/>
      </c>
      <c r="D300" s="30" t="str">
        <f>IF(($A300+2)&gt;$B$11, "", ($B$9*(($A300+2)/100)+$B$10*(($A300+2)/100)^2))</f>
        <v/>
      </c>
      <c r="E300" s="30" t="str">
        <f>IF(($A300+3)&gt;$B$11, "", ($B$9*(($A300+3)/100)+$B$10*(($A300+3)/100)^2))</f>
        <v/>
      </c>
      <c r="F300" s="30" t="str">
        <f>IF(($A300+4)&gt;$B$11, "", ($B$9*(($A300+4)/100)+$B$10*(($A300+4)/100)^2))</f>
        <v/>
      </c>
      <c r="G300" s="30" t="str">
        <f>IF(($A300+5)&gt;$B$11, "", ($B$9*(($A300+5)/100)+$B$10*(($A300+5)/100)^2))</f>
        <v/>
      </c>
      <c r="H300" s="30" t="str">
        <f>IF(($A300+6)&gt;$B$11, "", ($B$9*(($A300+6)/100)+$B$10*(($A300+6)/100)^2))</f>
        <v/>
      </c>
      <c r="I300" s="30" t="str">
        <f>IF(($A300+7)&gt;$B$11, "", ($B$9*(($A300+7)/100)+$B$10*(($A300+7)/100)^2))</f>
        <v/>
      </c>
      <c r="J300" s="30" t="str">
        <f>IF(($A300+8)&gt;$B$11, "", ($B$9*(($A300+8)/100)+$B$10*(($A300+8)/100)^2))</f>
        <v/>
      </c>
      <c r="K300" s="30" t="str">
        <f>IF(($A300+9)&gt;$B$11, "", ($B$9*(($A300+9)/100)+$B$10*(($A300+9)/100)^2))</f>
        <v/>
      </c>
    </row>
    <row r="301">
      <c r="A301" s="11">
        <v>500</v>
      </c>
      <c r="B301" s="30" t="str">
        <f>IF(($A301+0)&gt;$B$11, "", ($B$9*(($A301+0)/100)+$B$10*(($A301+0)/100)^2))</f>
        <v/>
      </c>
      <c r="C301" s="30" t="str">
        <f>IF(($A301+1)&gt;$B$11, "", ($B$9*(($A301+1)/100)+$B$10*(($A301+1)/100)^2))</f>
        <v/>
      </c>
      <c r="D301" s="30" t="str">
        <f>IF(($A301+2)&gt;$B$11, "", ($B$9*(($A301+2)/100)+$B$10*(($A301+2)/100)^2))</f>
        <v/>
      </c>
      <c r="E301" s="30" t="str">
        <f>IF(($A301+3)&gt;$B$11, "", ($B$9*(($A301+3)/100)+$B$10*(($A301+3)/100)^2))</f>
        <v/>
      </c>
      <c r="F301" s="30" t="str">
        <f>IF(($A301+4)&gt;$B$11, "", ($B$9*(($A301+4)/100)+$B$10*(($A301+4)/100)^2))</f>
        <v/>
      </c>
      <c r="G301" s="30" t="str">
        <f>IF(($A301+5)&gt;$B$11, "", ($B$9*(($A301+5)/100)+$B$10*(($A301+5)/100)^2))</f>
        <v/>
      </c>
      <c r="H301" s="30" t="str">
        <f>IF(($A301+6)&gt;$B$11, "", ($B$9*(($A301+6)/100)+$B$10*(($A301+6)/100)^2))</f>
        <v/>
      </c>
      <c r="I301" s="30" t="str">
        <f>IF(($A301+7)&gt;$B$11, "", ($B$9*(($A301+7)/100)+$B$10*(($A301+7)/100)^2))</f>
        <v/>
      </c>
      <c r="J301" s="30" t="str">
        <f>IF(($A301+8)&gt;$B$11, "", ($B$9*(($A301+8)/100)+$B$10*(($A301+8)/100)^2))</f>
        <v/>
      </c>
      <c r="K301" s="30" t="str">
        <f>IF(($A301+9)&gt;$B$11, "", ($B$9*(($A301+9)/100)+$B$10*(($A301+9)/100)^2))</f>
        <v/>
      </c>
    </row>
  </sheetData>
  <mergeCells count="3">
    <mergeCell ref="A1:B1"/>
    <mergeCell ref="A8:B8"/>
    <mergeCell ref="A21:B21"/>
  </mergeCells>
  <conditionalFormatting sqref="B32">
    <cfRule type="cellIs" dxfId="4" priority="1" stopIfTrue="1" operator="equal">
      <formula>"?? КРИТИЧЕСКИЙ ПЕРЕЛИВ!"</formula>
    </cfRule>
    <cfRule type="cellIs" dxfId="3" priority="2" stopIfTrue="1" operator="equal">
      <formula>"?? ПЕРЕПОЛНЕНИЕ ЛИМИТА!"</formula>
    </cfRule>
    <cfRule type="cellIs" dxfId="2" priority="3" stopIfTrue="1" operator="equal">
      <formula>"?? ИДЕТ ИНТЕНСИВНЫЙ ПАВОДОК"</formula>
    </cfRule>
    <cfRule type="cellIs" dxfId="1" priority="4" stopIfTrue="1" operator="equal">
      <formula>"?? БУРНЫЙ РЕЖИМ (РАЗМЫВ)"</formula>
    </cfRule>
    <cfRule type="cellIs" dxfId="0" priority="5" stopIfTrue="1" operator="equal">
      <formula>"? СТАБИЛЬНЫЙ РЕЖИМ"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Win-7 max</dc:creator>
  <cp:lastModifiedBy>Win-7 max</cp:lastModifiedBy>
  <dcterms:created xsi:type="dcterms:W3CDTF">2015-06-05T18:19:34Z</dcterms:created>
  <dcterms:modified xsi:type="dcterms:W3CDTF">2026-10-12T20:55:07Z</dcterms:modified>
</cp:coreProperties>
</file>